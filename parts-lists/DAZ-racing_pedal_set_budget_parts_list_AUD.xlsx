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ts list" sheetId="1" state="visible" r:id="rId3"/>
  </sheets>
  <definedNames>
    <definedName function="false" hidden="false" localSheetId="0" name="_xlnm.Print_Titles" vbProcedure="false">'Parts list'!$5:$5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<sst xmlns="http://schemas.openxmlformats.org/spreadsheetml/2006/main" count="265" uniqueCount="158">
  <si>
    <t xml:space="preserve">DAZ Racing Load-Cell Pedal Set (throttle, brake, clutch) – budget parts list (AUD)</t>
  </si>
  <si>
    <t xml:space="preserve">Prices are estimates in AUD incl. 10% GST, checked 3 Oct 2026. AliExpress prices change daily – edit the blue cells and everything re-totals. Every part has a main link and a backup link in case a listing sells out.</t>
  </si>
  <si>
    <t xml:space="preserve">Budget (AUD) – edit the yellow cell</t>
  </si>
  <si>
    <t xml:space="preserve">Total</t>
  </si>
  <si>
    <t xml:space="preserve">Component</t>
  </si>
  <si>
    <t xml:space="preserve">Need</t>
  </si>
  <si>
    <t xml:space="preserve">Buy</t>
  </si>
  <si>
    <t xml:space="preserve">Each (AUD)</t>
  </si>
  <si>
    <t xml:space="preserve">Total (AUD)</t>
  </si>
  <si>
    <t xml:space="preserve">Change vs DAZ's list</t>
  </si>
  <si>
    <t xml:space="preserve">Where to buy</t>
  </si>
  <si>
    <t xml:space="preserve">Main link</t>
  </si>
  <si>
    <t xml:space="preserve">Backup link</t>
  </si>
  <si>
    <t xml:space="preserve">Listing check</t>
  </si>
  <si>
    <t xml:space="preserve">Notes</t>
  </si>
  <si>
    <t xml:space="preserve">Price basis</t>
  </si>
  <si>
    <t xml:space="preserve">1. PARTS TO BUY</t>
  </si>
  <si>
    <t xml:space="preserve">Load cell, 150 kg</t>
  </si>
  <si>
    <t xml:space="preserve">1</t>
  </si>
  <si>
    <t xml:space="preserve">Kept – DAZ's exact part</t>
  </si>
  <si>
    <t xml:space="preserve">AliExpress</t>
  </si>
  <si>
    <t xml:space="preserve">AliExpress – DAZ's link</t>
  </si>
  <si>
    <t xml:space="preserve">AliExpress search: 150 kg load cell</t>
  </si>
  <si>
    <t xml:space="preserve">Link OK – page not auto-checked</t>
  </si>
  <si>
    <t xml:space="preserve">What makes the brake feel real. DAZ's brake pedal is designed for this load cell, so stick to his listing.</t>
  </si>
  <si>
    <t xml:space="preserve">DAZ's link: €13.39 (May 2025) ≈ AUD 19.60 incl. GST.</t>
  </si>
  <si>
    <t xml:space="preserve">Arduino Leonardo R3 (ATmega32U4)</t>
  </si>
  <si>
    <t xml:space="preserve">Cheaper – any seller, same size</t>
  </si>
  <si>
    <t xml:space="preserve">AliExpress search: Leonardo R3</t>
  </si>
  <si>
    <t xml:space="preserve">Search – in-stock sellers</t>
  </si>
  <si>
    <t xml:space="preserve">Any Leonardo R3 clone runs DAZ's pedal code. Need it today? Jaycar and Core Electronics sell compatible boards, but dearer.</t>
  </si>
  <si>
    <t xml:space="preserve">DAZ's price column €5 ≈ AUD 7.30 incl. GST.</t>
  </si>
  <si>
    <t xml:space="preserve">HX711 load-cell amplifier</t>
  </si>
  <si>
    <t xml:space="preserve">AliExpress search: HX711</t>
  </si>
  <si>
    <t xml:space="preserve">DAZ's link: €1.31 (May 2025) ≈ AUD 1.90 incl. GST.</t>
  </si>
  <si>
    <t xml:space="preserve">8 mm steel rod (main axle), 330 mm</t>
  </si>
  <si>
    <t xml:space="preserve">AliExpress search: 8 mm steel rod</t>
  </si>
  <si>
    <t xml:space="preserve">Pick 8 mm diameter, at least 330 mm long.</t>
  </si>
  <si>
    <t xml:space="preserve">DAZ's link: €2.59 (May 2025) ≈ AUD 3.80. Estimate AUD 5.</t>
  </si>
  <si>
    <t xml:space="preserve">SK8 shaft support blocks</t>
  </si>
  <si>
    <t xml:space="preserve">6 (4 without clutch)</t>
  </si>
  <si>
    <t xml:space="preserve">AliExpress search: SK8 support</t>
  </si>
  <si>
    <t xml:space="preserve">Keep the clutch: an H-pattern shifter needs one to feel right.</t>
  </si>
  <si>
    <t xml:space="preserve">DAZ's price column €6 for six ≈ AUD 8.80.</t>
  </si>
  <si>
    <t xml:space="preserve">Hall sensor module KY-035 (49E, analog)</t>
  </si>
  <si>
    <t xml:space="preserve">2 (1 without clutch)</t>
  </si>
  <si>
    <t xml:space="preserve">AliExpress search: KY-035 hall sensor</t>
  </si>
  <si>
    <t xml:space="preserve">Must be the analog 49E / KY-035, NOT the digital KY-003 (A3144).</t>
  </si>
  <si>
    <t xml:space="preserve">DAZ's link: €3.37 (May 2025) ≈ AUD 4.90 for a small pack.</t>
  </si>
  <si>
    <t xml:space="preserve">Brake spring (softest option)</t>
  </si>
  <si>
    <t xml:space="preserve">AliExpress search: brake pedal spring</t>
  </si>
  <si>
    <t xml:space="preserve">DAZ: get the softest one. Stick to his listing – the size matches his brake pedal.</t>
  </si>
  <si>
    <t xml:space="preserve">DAZ's price column €4 ≈ AUD 5.90.</t>
  </si>
  <si>
    <t xml:space="preserve">Skateboard truck bushings 85A (4-pack)</t>
  </si>
  <si>
    <t xml:space="preserve">2</t>
  </si>
  <si>
    <t xml:space="preserve">AliExpress search: skateboard bushings 85A</t>
  </si>
  <si>
    <t xml:space="preserve">Brake feel. DAZ used 85A hardness.</t>
  </si>
  <si>
    <t xml:space="preserve">DAZ's price column €2 ≈ AUD 2.90.</t>
  </si>
  <si>
    <t xml:space="preserve">Magnets 20 × 10 × 3 mm (or smaller)</t>
  </si>
  <si>
    <t xml:space="preserve">4 (2 without clutch)</t>
  </si>
  <si>
    <t xml:space="preserve">AliExpress search: 20×10×3 magnets</t>
  </si>
  <si>
    <t xml:space="preserve">DAZ's link: €1.10 (May 2025) ≈ AUD 1.60.</t>
  </si>
  <si>
    <t xml:space="preserve">Cable clamps for 1.5 mm cable (E type)</t>
  </si>
  <si>
    <t xml:space="preserve">3 (1 without clutch)</t>
  </si>
  <si>
    <t xml:space="preserve">AliExpress search: 1.5 mm wire rope clip</t>
  </si>
  <si>
    <t xml:space="preserve">DAZ's link: €3.41 (May 2025) ≈ AUD 5.</t>
  </si>
  <si>
    <t xml:space="preserve">Tension springs with hooks (hand-gripper type)</t>
  </si>
  <si>
    <t xml:space="preserve">AliExpress search: hand-gripper spring</t>
  </si>
  <si>
    <t xml:space="preserve">DAZ's link: €2.40 (May 2025) ≈ AUD 3.50.</t>
  </si>
  <si>
    <t xml:space="preserve">Subtotal – parts</t>
  </si>
  <si>
    <t xml:space="preserve">2. NUTS &amp; BOLTS (DAZ's list)</t>
  </si>
  <si>
    <t xml:space="preserve">M5 nuts</t>
  </si>
  <si>
    <t xml:space="preserve">15</t>
  </si>
  <si>
    <t xml:space="preserve">Cheaper – any seller, same size (small pack)</t>
  </si>
  <si>
    <t xml:space="preserve">AliExpress search: M5 nut</t>
  </si>
  <si>
    <t xml:space="preserve">Pick the exact size and the smallest quantity. Plain steel is cheaper than stainless and fine indoors. Bunnings has most sizes today but costs 2–3× more.</t>
  </si>
  <si>
    <t xml:space="preserve">Small AliExpress pack ≈ AUD 1–2.50.</t>
  </si>
  <si>
    <t xml:space="preserve">M5 × 25 socket head bolts (longer if your plate/plywood is over 10 mm)</t>
  </si>
  <si>
    <t xml:space="preserve">AliExpress search: M5x25 socket head</t>
  </si>
  <si>
    <t xml:space="preserve">A 20-pack covers it.</t>
  </si>
  <si>
    <t xml:space="preserve">M5 washers</t>
  </si>
  <si>
    <t xml:space="preserve">12</t>
  </si>
  <si>
    <t xml:space="preserve">AliExpress search: M5 washer</t>
  </si>
  <si>
    <t xml:space="preserve">M8 washers</t>
  </si>
  <si>
    <t xml:space="preserve">6</t>
  </si>
  <si>
    <t xml:space="preserve">AliExpress search: M8 washer</t>
  </si>
  <si>
    <t xml:space="preserve">M8 nuts</t>
  </si>
  <si>
    <t xml:space="preserve">AliExpress search: M8 nut</t>
  </si>
  <si>
    <t xml:space="preserve">M8 × 20 countersunk bolts</t>
  </si>
  <si>
    <t xml:space="preserve">AliExpress search: M8x20 countersunk</t>
  </si>
  <si>
    <t xml:space="preserve">M8 threaded rod, 70 mm</t>
  </si>
  <si>
    <t xml:space="preserve">Bunnings search: M8 threaded rod</t>
  </si>
  <si>
    <t xml:space="preserve">Or cut it from the shifter's rod / a 1 m Bunnings rod.</t>
  </si>
  <si>
    <t xml:space="preserve">Small self-tapping screws, ≈2 mm (hall sensors)</t>
  </si>
  <si>
    <t xml:space="preserve">4</t>
  </si>
  <si>
    <t xml:space="preserve">AliExpress search: M2x8 self-tapping</t>
  </si>
  <si>
    <t xml:space="preserve">Self-tapping screws, ≈4 mm, countersunk, 10 mm</t>
  </si>
  <si>
    <t xml:space="preserve">8</t>
  </si>
  <si>
    <t xml:space="preserve">AliExpress search: M4x10 countersunk self-tapping</t>
  </si>
  <si>
    <t xml:space="preserve">Self-tapping screws, ≈3 mm, countersunk, 25 mm</t>
  </si>
  <si>
    <t xml:space="preserve">AliExpress search: M3x25 countersunk self-tapping</t>
  </si>
  <si>
    <t xml:space="preserve">3 mm steel nails</t>
  </si>
  <si>
    <t xml:space="preserve">Kept – smallest pack</t>
  </si>
  <si>
    <t xml:space="preserve">Bunnings / hardware store</t>
  </si>
  <si>
    <t xml:space="preserve">Bunnings search: 3 mm nails</t>
  </si>
  <si>
    <t xml:space="preserve">Bunnings search</t>
  </si>
  <si>
    <t xml:space="preserve">Used as pins.</t>
  </si>
  <si>
    <t xml:space="preserve">Small pack at a hardware store ≈ AUD 2–3.</t>
  </si>
  <si>
    <t xml:space="preserve">Subtotal – nuts &amp; bolts</t>
  </si>
  <si>
    <t xml:space="preserve">TOTAL – counts toward the budget</t>
  </si>
  <si>
    <t xml:space="preserve">3. FREE IF YOU CAN SCROUNGE THEM / ALREADY HAVE (NOT counted – prices are if you buy)</t>
  </si>
  <si>
    <t xml:space="preserve">Bike brake inner cables, MTB type</t>
  </si>
  <si>
    <t xml:space="preserve">Free – old bike or bike shop</t>
  </si>
  <si>
    <t xml:space="preserve">Old bike / bike shop</t>
  </si>
  <si>
    <t xml:space="preserve">AliExpress search: MTB brake cable</t>
  </si>
  <si>
    <t xml:space="preserve">An old bike's brake cables work, and bike shops often throw out offcuts – ask.</t>
  </si>
  <si>
    <t xml:space="preserve">DAZ's link: €2.69 (May 2025) ≈ AUD 3.90.</t>
  </si>
  <si>
    <t xml:space="preserve">Pedal base: bolt to your metal frame's pedal plate (or scrap plywood ≈10 mm)</t>
  </si>
  <si>
    <t xml:space="preserve">Free – use your rig</t>
  </si>
  <si>
    <t xml:space="preserve">Your frame / scrap</t>
  </si>
  <si>
    <t xml:space="preserve">Bunnings search: plywood</t>
  </si>
  <si>
    <t xml:space="preserve">You're buying a metal frame, so bolt the pedals to its pedal plate. DAZ's bolt lengths assume ~10 mm plywood – check they suit your plate.</t>
  </si>
  <si>
    <t xml:space="preserve">Small plywood sheet at Bunnings ≈ AUD 10–15.</t>
  </si>
  <si>
    <t xml:space="preserve">Hook-up wire, solder, heat-shrink</t>
  </si>
  <si>
    <t xml:space="preserve">–</t>
  </si>
  <si>
    <t xml:space="preserve">Not counted</t>
  </si>
  <si>
    <t xml:space="preserve">Jaycar / AliExpress</t>
  </si>
  <si>
    <t xml:space="preserve">For wiring the electronics.</t>
  </si>
  <si>
    <t xml:space="preserve">Typical small-pack prices.</t>
  </si>
  <si>
    <t xml:space="preserve">PLA+ filament for the printed parts</t>
  </si>
  <si>
    <t xml:space="preserve">≈1 kg</t>
  </si>
  <si>
    <t xml:space="preserve">AliExpress / Amazon AU</t>
  </si>
  <si>
    <t xml:space="preserve">You're budgeting the printing separately. Budget PLA+ is about AUD 18–25 per kg on sale.</t>
  </si>
  <si>
    <t xml:space="preserve">Typical AU price for a budget 1 kg roll.</t>
  </si>
  <si>
    <t xml:space="preserve">Micro-USB data cable</t>
  </si>
  <si>
    <t xml:space="preserve">Kmart / AliExpress</t>
  </si>
  <si>
    <t xml:space="preserve">Connects the Leonardo to the PC.</t>
  </si>
  <si>
    <t xml:space="preserve">Typical price.</t>
  </si>
  <si>
    <t xml:space="preserve">If you need to buy these too</t>
  </si>
  <si>
    <t xml:space="preserve">All-in total including section 3</t>
  </si>
  <si>
    <t xml:space="preserve">4. REMOVED (NOT counted)</t>
  </si>
  <si>
    <t xml:space="preserve">Bike cable end caps</t>
  </si>
  <si>
    <t xml:space="preserve">Removed – DAZ says not necessary</t>
  </si>
  <si>
    <t xml:space="preserve">AliExpress search: bike cable end caps</t>
  </si>
  <si>
    <t xml:space="preserve">DAZ: "not necessary but nice to have". A drop of solder or glue on the cable end stops fraying for free.</t>
  </si>
  <si>
    <t xml:space="preserve">DAZ's price column €1.</t>
  </si>
  <si>
    <t xml:space="preserve">Removed subtotal</t>
  </si>
  <si>
    <t xml:space="preserve">Total if you add section 4 back</t>
  </si>
  <si>
    <t xml:space="preserve">TIPS</t>
  </si>
  <si>
    <t xml:space="preserve">• Order everything from AliExpress in one go during the 11.11 sale (11 November) – sale coupons usually take money off orders this size, and one big order clears the free-shipping threshold.</t>
  </si>
  <si>
    <t xml:space="preserve">• Skipping the clutch saves only about $5 – keep it for the H-shifter.</t>
  </si>
  <si>
    <t xml:space="preserve">ASSUMPTIONS &amp; SOURCES</t>
  </si>
  <si>
    <t xml:space="preserve">• Prices: estimates in AUD including 10% GST (AliExpress adds GST to Australian orders under AUD 1,000). Blue cells are inputs you can change; black cells are formulas.</t>
  </si>
  <si>
    <t xml:space="preserve">• Exchange rates: 1 USD = 1.4425 AUD, 1 EUR = 1.6249 AUD (ExchangeRate-API, open.er-api.com, 2 Oct 2026). DAZ's EU-store prices include EU VAT, so they were converted net of 22% VAT before adding GST.</t>
  </si>
  <si>
    <t xml:space="preserve">• Links: 'DAZ's link' = DAZ's own AliExpress (affiliate) listing – used where his printed parts need that exact part, and buying through it supports him. 'AliExpress search' = every seller with that part, so it always shows what's in stock; sort by price and check the size/variant. Choice-badge listings ship free over the threshold and arrive fastest.</t>
  </si>
  <si>
    <t xml:space="preserve">• Listing check (3 Oct 2026): every DAZ link was opened to confirm it still leads to a product page. AliExpress's bot check blocked some page loads, marked as not auto-checked – those links still work. Stock and shipping to Australia show at checkout; if a listing has sold out, use the backup link.</t>
  </si>
  <si>
    <t xml:space="preserve">• Price basis: DAZ's links carry the price from when he made them (mostly May 2025), quoted where available; other figures are typical 2026 AliExpress listings.</t>
  </si>
  <si>
    <t xml:space="preserve">• Based on DAZ Racing's load-cell pedal set parts list.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</si>
</sst>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\$#,##0.00;&quot;-$&quot;#,##0.00;\-"/>
    <numFmt numFmtId="167" formatCode="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sz val="9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1F3864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EDEDED"/>
      </patternFill>
    </fill>
    <fill>
      <patternFill patternType="solid">
        <fgColor rgb="FFFFF2CC"/>
        <bgColor rgb="FFFCE4D6"/>
      </patternFill>
    </fill>
    <fill>
      <patternFill patternType="solid">
        <fgColor rgb="FFEDEDED"/>
        <bgColor rgb="FFE2EFDA"/>
      </patternFill>
    </fill>
    <fill>
      <patternFill patternType="solid">
        <fgColor rgb="FFFCE4D6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>
        <color rgb="FF808080"/>
      </top>
      <bottom/>
      <diagonal/>
    </border>
    <border diagonalUp="false" diagonalDown="false">
      <left/>
      <right/>
      <top style="thin">
        <color rgb="FF808080"/>
      </top>
      <bottom style="double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9" fillId="8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2EFDA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6EFCE"/>
      <rgbColor rgb="FFFCE4D6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s.click.aliexpress.com/e/_c4WA985D" TargetMode="External"/><Relationship Id="rId2" Type="http://schemas.openxmlformats.org/officeDocument/2006/relationships/hyperlink" Target="https://www.aliexpress.com/w/wholesale-load-cell-150kg.html" TargetMode="External"/><Relationship Id="rId3" Type="http://schemas.openxmlformats.org/officeDocument/2006/relationships/hyperlink" Target="https://www.aliexpress.com/w/wholesale-Leonardo-R3-ATmega32U4.html" TargetMode="External"/><Relationship Id="rId4" Type="http://schemas.openxmlformats.org/officeDocument/2006/relationships/hyperlink" Target="https://s.click.aliexpress.com/e/_c3D1qauz" TargetMode="External"/><Relationship Id="rId5" Type="http://schemas.openxmlformats.org/officeDocument/2006/relationships/hyperlink" Target="https://www.aliexpress.com/w/wholesale-HX711-module.html" TargetMode="External"/><Relationship Id="rId6" Type="http://schemas.openxmlformats.org/officeDocument/2006/relationships/hyperlink" Target="https://s.click.aliexpress.com/e/_c4Oe4RZN" TargetMode="External"/><Relationship Id="rId7" Type="http://schemas.openxmlformats.org/officeDocument/2006/relationships/hyperlink" Target="https://www.aliexpress.com/w/wholesale-8mm-stainless-steel-rod.html" TargetMode="External"/><Relationship Id="rId8" Type="http://schemas.openxmlformats.org/officeDocument/2006/relationships/hyperlink" Target="https://s.click.aliexpress.com/e/_c3D7O6E3" TargetMode="External"/><Relationship Id="rId9" Type="http://schemas.openxmlformats.org/officeDocument/2006/relationships/hyperlink" Target="https://www.aliexpress.com/w/wholesale-SK8-shaft-support.html" TargetMode="External"/><Relationship Id="rId10" Type="http://schemas.openxmlformats.org/officeDocument/2006/relationships/hyperlink" Target="https://s.click.aliexpress.com/e/_c3gFvFW9" TargetMode="External"/><Relationship Id="rId11" Type="http://schemas.openxmlformats.org/officeDocument/2006/relationships/hyperlink" Target="https://www.aliexpress.com/w/wholesale-KY-035-hall-sensor-analog.html" TargetMode="External"/><Relationship Id="rId12" Type="http://schemas.openxmlformats.org/officeDocument/2006/relationships/hyperlink" Target="https://s.click.aliexpress.com/e/_c43nBBbZ" TargetMode="External"/><Relationship Id="rId13" Type="http://schemas.openxmlformats.org/officeDocument/2006/relationships/hyperlink" Target="https://s.click.aliexpress.com/e/_c3ild94T" TargetMode="External"/><Relationship Id="rId14" Type="http://schemas.openxmlformats.org/officeDocument/2006/relationships/hyperlink" Target="https://www.aliexpress.com/w/wholesale-compression-spring-brake-pedal.html" TargetMode="External"/><Relationship Id="rId15" Type="http://schemas.openxmlformats.org/officeDocument/2006/relationships/hyperlink" Target="https://s.click.aliexpress.com/e/_c3aTHCcJ" TargetMode="External"/><Relationship Id="rId16" Type="http://schemas.openxmlformats.org/officeDocument/2006/relationships/hyperlink" Target="https://www.aliexpress.com/w/wholesale-skateboard-bushings-85A.html" TargetMode="External"/><Relationship Id="rId17" Type="http://schemas.openxmlformats.org/officeDocument/2006/relationships/hyperlink" Target="https://www.aliexpress.com/w/wholesale-20x10x3mm-neodymium-magnet.html" TargetMode="External"/><Relationship Id="rId18" Type="http://schemas.openxmlformats.org/officeDocument/2006/relationships/hyperlink" Target="https://s.click.aliexpress.com/e/_c3ZLF2O3" TargetMode="External"/><Relationship Id="rId19" Type="http://schemas.openxmlformats.org/officeDocument/2006/relationships/hyperlink" Target="https://s.click.aliexpress.com/e/_c4cJBpl5" TargetMode="External"/><Relationship Id="rId20" Type="http://schemas.openxmlformats.org/officeDocument/2006/relationships/hyperlink" Target="https://www.aliexpress.com/w/wholesale-1.5mm-wire-rope-clip.html" TargetMode="External"/><Relationship Id="rId21" Type="http://schemas.openxmlformats.org/officeDocument/2006/relationships/hyperlink" Target="https://s.click.aliexpress.com/e/_c4PPZIoJ" TargetMode="External"/><Relationship Id="rId22" Type="http://schemas.openxmlformats.org/officeDocument/2006/relationships/hyperlink" Target="https://www.aliexpress.com/w/wholesale-hand-gripper-spring.html" TargetMode="External"/><Relationship Id="rId23" Type="http://schemas.openxmlformats.org/officeDocument/2006/relationships/hyperlink" Target="https://www.aliexpress.com/w/wholesale-M5-hex-nut.html" TargetMode="External"/><Relationship Id="rId24" Type="http://schemas.openxmlformats.org/officeDocument/2006/relationships/hyperlink" Target="https://s.click.aliexpress.com/e/_c4CPm5kp" TargetMode="External"/><Relationship Id="rId25" Type="http://schemas.openxmlformats.org/officeDocument/2006/relationships/hyperlink" Target="https://www.aliexpress.com/w/wholesale-M5x25-socket-head-screw.html" TargetMode="External"/><Relationship Id="rId26" Type="http://schemas.openxmlformats.org/officeDocument/2006/relationships/hyperlink" Target="https://s.click.aliexpress.com/e/_c4F4mPuh" TargetMode="External"/><Relationship Id="rId27" Type="http://schemas.openxmlformats.org/officeDocument/2006/relationships/hyperlink" Target="https://www.aliexpress.com/w/wholesale-M5-flat-washer.html" TargetMode="External"/><Relationship Id="rId28" Type="http://schemas.openxmlformats.org/officeDocument/2006/relationships/hyperlink" Target="https://www.aliexpress.com/w/wholesale-M8-flat-washer.html" TargetMode="External"/><Relationship Id="rId29" Type="http://schemas.openxmlformats.org/officeDocument/2006/relationships/hyperlink" Target="https://www.aliexpress.com/w/wholesale-M8-hex-nut.html" TargetMode="External"/><Relationship Id="rId30" Type="http://schemas.openxmlformats.org/officeDocument/2006/relationships/hyperlink" Target="https://s.click.aliexpress.com/e/_c4CPm5kp" TargetMode="External"/><Relationship Id="rId31" Type="http://schemas.openxmlformats.org/officeDocument/2006/relationships/hyperlink" Target="https://www.aliexpress.com/w/wholesale-M8x20-countersunk-screw.html" TargetMode="External"/><Relationship Id="rId32" Type="http://schemas.openxmlformats.org/officeDocument/2006/relationships/hyperlink" Target="https://s.click.aliexpress.com/e/_c3c2tuQh" TargetMode="External"/><Relationship Id="rId33" Type="http://schemas.openxmlformats.org/officeDocument/2006/relationships/hyperlink" Target="https://s.click.aliexpress.com/e/_c4DbSC0d" TargetMode="External"/><Relationship Id="rId34" Type="http://schemas.openxmlformats.org/officeDocument/2006/relationships/hyperlink" Target="https://www.bunnings.com.au/search/products?q=m8%20threaded%20rod" TargetMode="External"/><Relationship Id="rId35" Type="http://schemas.openxmlformats.org/officeDocument/2006/relationships/hyperlink" Target="https://www.aliexpress.com/w/wholesale-M2x8-self-tapping-screw.html" TargetMode="External"/><Relationship Id="rId36" Type="http://schemas.openxmlformats.org/officeDocument/2006/relationships/hyperlink" Target="https://s.click.aliexpress.com/e/_c4TpvOcH" TargetMode="External"/><Relationship Id="rId37" Type="http://schemas.openxmlformats.org/officeDocument/2006/relationships/hyperlink" Target="https://www.aliexpress.com/w/wholesale-M4x10-countersunk-self-tapping-screw.html" TargetMode="External"/><Relationship Id="rId38" Type="http://schemas.openxmlformats.org/officeDocument/2006/relationships/hyperlink" Target="https://s.click.aliexpress.com/e/_c4TpvOcH" TargetMode="External"/><Relationship Id="rId39" Type="http://schemas.openxmlformats.org/officeDocument/2006/relationships/hyperlink" Target="https://www.aliexpress.com/w/wholesale-M3x25-countersunk-self-tapping-screw.html" TargetMode="External"/><Relationship Id="rId40" Type="http://schemas.openxmlformats.org/officeDocument/2006/relationships/hyperlink" Target="https://s.click.aliexpress.com/e/_c4TpvOcH" TargetMode="External"/><Relationship Id="rId41" Type="http://schemas.openxmlformats.org/officeDocument/2006/relationships/hyperlink" Target="https://www.bunnings.com.au/search/products?q=3mm%20nails" TargetMode="External"/><Relationship Id="rId42" Type="http://schemas.openxmlformats.org/officeDocument/2006/relationships/hyperlink" Target="https://www.aliexpress.com/w/wholesale-MTB-brake-inner-cable.html" TargetMode="External"/><Relationship Id="rId43" Type="http://schemas.openxmlformats.org/officeDocument/2006/relationships/hyperlink" Target="https://s.click.aliexpress.com/e/_c4TmJzRt" TargetMode="External"/><Relationship Id="rId44" Type="http://schemas.openxmlformats.org/officeDocument/2006/relationships/hyperlink" Target="https://www.bunnings.com.au/search/products?q=plywood" TargetMode="External"/><Relationship Id="rId45" Type="http://schemas.openxmlformats.org/officeDocument/2006/relationships/hyperlink" Target="https://s.click.aliexpress.com/e/_c3Ev8NK5" TargetMode="External"/><Relationship Id="rId46" Type="http://schemas.openxmlformats.org/officeDocument/2006/relationships/hyperlink" Target="https://www.aliexpress.com/w/wholesale-bike-cable-end-caps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3"/>
    <col collapsed="false" customWidth="true" hidden="false" outlineLevel="0" max="3" min="3" style="0" width="6"/>
    <col collapsed="false" customWidth="true" hidden="false" outlineLevel="0" max="5" min="4" style="0" width="10.5"/>
    <col collapsed="false" customWidth="true" hidden="false" outlineLevel="0" max="6" min="6" style="0" width="22"/>
    <col collapsed="false" customWidth="true" hidden="false" outlineLevel="0" max="7" min="7" style="0" width="17"/>
    <col collapsed="false" customWidth="true" hidden="false" outlineLevel="0" max="8" min="8" style="0" width="28"/>
    <col collapsed="false" customWidth="true" hidden="false" outlineLevel="0" max="9" min="9" style="0" width="31"/>
    <col collapsed="false" customWidth="true" hidden="false" outlineLevel="0" max="10" min="10" style="0" width="18"/>
    <col collapsed="false" customWidth="true" hidden="false" outlineLevel="0" max="11" min="11" style="0" width="56"/>
    <col collapsed="false" customWidth="true" hidden="false" outlineLevel="0" max="12" min="12" style="0" width="40"/>
  </cols>
  <sheetData>
    <row r="1" customFormat="false" ht="21.75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8" hidden="false" customHeight="true" outlineLevel="0" collapsed="false">
      <c r="A3" s="3" t="s">
        <v>2</v>
      </c>
      <c r="B3" s="4" t="n">
        <v>200</v>
      </c>
      <c r="D3" s="5" t="s">
        <v>3</v>
      </c>
      <c r="E3" s="6" t="n">
        <f aca="false">E34</f>
        <v>85.6</v>
      </c>
      <c r="F3" s="3" t="str">
        <f aca="false">IF($E$3&lt;=$B$3,"UNDER BUDGET – $"&amp;TEXT($B$3-$E$3,"0.00")&amp;" spare","OVER BUDGET by $"&amp;TEXT($E$3-$B$3,"0.00"))</f>
        <v>UNDER BUDGET – $114.40 spare</v>
      </c>
    </row>
    <row r="5" customFormat="false" ht="19.5" hidden="false" customHeight="true" outlineLevel="0" collapsed="false">
      <c r="A5" s="7" t="s">
        <v>4</v>
      </c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7" t="s">
        <v>10</v>
      </c>
      <c r="H5" s="7" t="s">
        <v>11</v>
      </c>
      <c r="I5" s="7" t="s">
        <v>12</v>
      </c>
      <c r="J5" s="7" t="s">
        <v>13</v>
      </c>
      <c r="K5" s="7" t="s">
        <v>14</v>
      </c>
      <c r="L5" s="7" t="s">
        <v>15</v>
      </c>
    </row>
    <row r="6" customFormat="false" ht="15" hidden="false" customHeight="false" outlineLevel="0" collapsed="false">
      <c r="A6" s="8" t="s">
        <v>16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</row>
    <row r="7" customFormat="false" ht="28.5" hidden="false" customHeight="true" outlineLevel="0" collapsed="false">
      <c r="A7" s="9" t="s">
        <v>17</v>
      </c>
      <c r="B7" s="9" t="s">
        <v>18</v>
      </c>
      <c r="C7" s="10" t="n">
        <v>1</v>
      </c>
      <c r="D7" s="11" t="n">
        <v>20</v>
      </c>
      <c r="E7" s="12" t="n">
        <f aca="false">C7*D7</f>
        <v>20</v>
      </c>
      <c r="F7" s="13" t="s">
        <v>19</v>
      </c>
      <c r="G7" s="9" t="s">
        <v>20</v>
      </c>
      <c r="H7" s="14" t="s">
        <v>21</v>
      </c>
      <c r="I7" s="14" t="s">
        <v>22</v>
      </c>
      <c r="J7" s="15" t="s">
        <v>23</v>
      </c>
      <c r="K7" s="9" t="s">
        <v>24</v>
      </c>
      <c r="L7" s="9" t="s">
        <v>25</v>
      </c>
    </row>
    <row r="8" customFormat="false" ht="28.5" hidden="false" customHeight="true" outlineLevel="0" collapsed="false">
      <c r="A8" s="9" t="s">
        <v>26</v>
      </c>
      <c r="B8" s="9" t="s">
        <v>18</v>
      </c>
      <c r="C8" s="10" t="n">
        <v>1</v>
      </c>
      <c r="D8" s="11" t="n">
        <v>8</v>
      </c>
      <c r="E8" s="12" t="n">
        <f aca="false">C8*D8</f>
        <v>8</v>
      </c>
      <c r="F8" s="16" t="s">
        <v>27</v>
      </c>
      <c r="G8" s="9" t="s">
        <v>20</v>
      </c>
      <c r="H8" s="14" t="s">
        <v>28</v>
      </c>
      <c r="I8" s="14" t="s">
        <v>21</v>
      </c>
      <c r="J8" s="15" t="s">
        <v>29</v>
      </c>
      <c r="K8" s="9" t="s">
        <v>30</v>
      </c>
      <c r="L8" s="9" t="s">
        <v>31</v>
      </c>
    </row>
    <row r="9" customFormat="false" ht="28.5" hidden="false" customHeight="true" outlineLevel="0" collapsed="false">
      <c r="A9" s="9" t="s">
        <v>32</v>
      </c>
      <c r="B9" s="9" t="s">
        <v>18</v>
      </c>
      <c r="C9" s="10" t="n">
        <v>1</v>
      </c>
      <c r="D9" s="11" t="n">
        <v>2</v>
      </c>
      <c r="E9" s="12" t="n">
        <f aca="false">C9*D9</f>
        <v>2</v>
      </c>
      <c r="F9" s="16" t="s">
        <v>27</v>
      </c>
      <c r="G9" s="9" t="s">
        <v>20</v>
      </c>
      <c r="H9" s="14" t="s">
        <v>33</v>
      </c>
      <c r="I9" s="14" t="s">
        <v>21</v>
      </c>
      <c r="J9" s="15" t="s">
        <v>29</v>
      </c>
      <c r="K9" s="9"/>
      <c r="L9" s="9" t="s">
        <v>34</v>
      </c>
    </row>
    <row r="10" customFormat="false" ht="28.5" hidden="false" customHeight="true" outlineLevel="0" collapsed="false">
      <c r="A10" s="9" t="s">
        <v>35</v>
      </c>
      <c r="B10" s="9" t="s">
        <v>18</v>
      </c>
      <c r="C10" s="10" t="n">
        <v>1</v>
      </c>
      <c r="D10" s="11" t="n">
        <v>5</v>
      </c>
      <c r="E10" s="12" t="n">
        <f aca="false">C10*D10</f>
        <v>5</v>
      </c>
      <c r="F10" s="16" t="s">
        <v>27</v>
      </c>
      <c r="G10" s="9" t="s">
        <v>20</v>
      </c>
      <c r="H10" s="14" t="s">
        <v>36</v>
      </c>
      <c r="I10" s="14" t="s">
        <v>21</v>
      </c>
      <c r="J10" s="15" t="s">
        <v>29</v>
      </c>
      <c r="K10" s="9" t="s">
        <v>37</v>
      </c>
      <c r="L10" s="9" t="s">
        <v>38</v>
      </c>
    </row>
    <row r="11" customFormat="false" ht="28.5" hidden="false" customHeight="true" outlineLevel="0" collapsed="false">
      <c r="A11" s="9" t="s">
        <v>39</v>
      </c>
      <c r="B11" s="9" t="s">
        <v>40</v>
      </c>
      <c r="C11" s="10" t="n">
        <v>6</v>
      </c>
      <c r="D11" s="11" t="n">
        <v>1.6</v>
      </c>
      <c r="E11" s="12" t="n">
        <f aca="false">C11*D11</f>
        <v>9.6</v>
      </c>
      <c r="F11" s="16" t="s">
        <v>27</v>
      </c>
      <c r="G11" s="9" t="s">
        <v>20</v>
      </c>
      <c r="H11" s="14" t="s">
        <v>41</v>
      </c>
      <c r="I11" s="14" t="s">
        <v>21</v>
      </c>
      <c r="J11" s="15" t="s">
        <v>29</v>
      </c>
      <c r="K11" s="9" t="s">
        <v>42</v>
      </c>
      <c r="L11" s="9" t="s">
        <v>43</v>
      </c>
    </row>
    <row r="12" customFormat="false" ht="28.5" hidden="false" customHeight="true" outlineLevel="0" collapsed="false">
      <c r="A12" s="9" t="s">
        <v>44</v>
      </c>
      <c r="B12" s="9" t="s">
        <v>45</v>
      </c>
      <c r="C12" s="10" t="n">
        <v>2</v>
      </c>
      <c r="D12" s="11" t="n">
        <v>1.5</v>
      </c>
      <c r="E12" s="12" t="n">
        <f aca="false">C12*D12</f>
        <v>3</v>
      </c>
      <c r="F12" s="16" t="s">
        <v>27</v>
      </c>
      <c r="G12" s="9" t="s">
        <v>20</v>
      </c>
      <c r="H12" s="14" t="s">
        <v>46</v>
      </c>
      <c r="I12" s="14" t="s">
        <v>21</v>
      </c>
      <c r="J12" s="15" t="s">
        <v>29</v>
      </c>
      <c r="K12" s="9" t="s">
        <v>47</v>
      </c>
      <c r="L12" s="9" t="s">
        <v>48</v>
      </c>
    </row>
    <row r="13" customFormat="false" ht="28.5" hidden="false" customHeight="true" outlineLevel="0" collapsed="false">
      <c r="A13" s="9" t="s">
        <v>49</v>
      </c>
      <c r="B13" s="9" t="s">
        <v>18</v>
      </c>
      <c r="C13" s="10" t="n">
        <v>1</v>
      </c>
      <c r="D13" s="11" t="n">
        <v>6</v>
      </c>
      <c r="E13" s="12" t="n">
        <f aca="false">C13*D13</f>
        <v>6</v>
      </c>
      <c r="F13" s="13" t="s">
        <v>19</v>
      </c>
      <c r="G13" s="9" t="s">
        <v>20</v>
      </c>
      <c r="H13" s="14" t="s">
        <v>21</v>
      </c>
      <c r="I13" s="14" t="s">
        <v>50</v>
      </c>
      <c r="J13" s="15" t="s">
        <v>23</v>
      </c>
      <c r="K13" s="9" t="s">
        <v>51</v>
      </c>
      <c r="L13" s="9" t="s">
        <v>52</v>
      </c>
    </row>
    <row r="14" customFormat="false" ht="28.5" hidden="false" customHeight="true" outlineLevel="0" collapsed="false">
      <c r="A14" s="9" t="s">
        <v>53</v>
      </c>
      <c r="B14" s="9" t="s">
        <v>54</v>
      </c>
      <c r="C14" s="10" t="n">
        <v>1</v>
      </c>
      <c r="D14" s="11" t="n">
        <v>3</v>
      </c>
      <c r="E14" s="12" t="n">
        <f aca="false">C14*D14</f>
        <v>3</v>
      </c>
      <c r="F14" s="13" t="s">
        <v>19</v>
      </c>
      <c r="G14" s="9" t="s">
        <v>20</v>
      </c>
      <c r="H14" s="14" t="s">
        <v>21</v>
      </c>
      <c r="I14" s="14" t="s">
        <v>55</v>
      </c>
      <c r="J14" s="15" t="s">
        <v>23</v>
      </c>
      <c r="K14" s="9" t="s">
        <v>56</v>
      </c>
      <c r="L14" s="9" t="s">
        <v>57</v>
      </c>
    </row>
    <row r="15" customFormat="false" ht="28.5" hidden="false" customHeight="true" outlineLevel="0" collapsed="false">
      <c r="A15" s="9" t="s">
        <v>58</v>
      </c>
      <c r="B15" s="9" t="s">
        <v>59</v>
      </c>
      <c r="C15" s="10" t="n">
        <v>1</v>
      </c>
      <c r="D15" s="11" t="n">
        <v>2.5</v>
      </c>
      <c r="E15" s="12" t="n">
        <f aca="false">C15*D15</f>
        <v>2.5</v>
      </c>
      <c r="F15" s="16" t="s">
        <v>27</v>
      </c>
      <c r="G15" s="9" t="s">
        <v>20</v>
      </c>
      <c r="H15" s="14" t="s">
        <v>60</v>
      </c>
      <c r="I15" s="14" t="s">
        <v>21</v>
      </c>
      <c r="J15" s="15" t="s">
        <v>29</v>
      </c>
      <c r="K15" s="9"/>
      <c r="L15" s="9" t="s">
        <v>61</v>
      </c>
    </row>
    <row r="16" customFormat="false" ht="28.5" hidden="false" customHeight="true" outlineLevel="0" collapsed="false">
      <c r="A16" s="9" t="s">
        <v>62</v>
      </c>
      <c r="B16" s="9" t="s">
        <v>63</v>
      </c>
      <c r="C16" s="10" t="n">
        <v>1</v>
      </c>
      <c r="D16" s="11" t="n">
        <v>5</v>
      </c>
      <c r="E16" s="12" t="n">
        <f aca="false">C16*D16</f>
        <v>5</v>
      </c>
      <c r="F16" s="13" t="s">
        <v>19</v>
      </c>
      <c r="G16" s="9" t="s">
        <v>20</v>
      </c>
      <c r="H16" s="14" t="s">
        <v>21</v>
      </c>
      <c r="I16" s="14" t="s">
        <v>64</v>
      </c>
      <c r="J16" s="15" t="s">
        <v>23</v>
      </c>
      <c r="K16" s="9"/>
      <c r="L16" s="9" t="s">
        <v>65</v>
      </c>
    </row>
    <row r="17" customFormat="false" ht="28.5" hidden="false" customHeight="true" outlineLevel="0" collapsed="false">
      <c r="A17" s="9" t="s">
        <v>66</v>
      </c>
      <c r="B17" s="9" t="s">
        <v>63</v>
      </c>
      <c r="C17" s="10" t="n">
        <v>1</v>
      </c>
      <c r="D17" s="11" t="n">
        <v>3.5</v>
      </c>
      <c r="E17" s="12" t="n">
        <f aca="false">C17*D17</f>
        <v>3.5</v>
      </c>
      <c r="F17" s="13" t="s">
        <v>19</v>
      </c>
      <c r="G17" s="9" t="s">
        <v>20</v>
      </c>
      <c r="H17" s="14" t="s">
        <v>21</v>
      </c>
      <c r="I17" s="14" t="s">
        <v>67</v>
      </c>
      <c r="J17" s="15" t="s">
        <v>23</v>
      </c>
      <c r="K17" s="9"/>
      <c r="L17" s="9" t="s">
        <v>68</v>
      </c>
    </row>
    <row r="18" customFormat="false" ht="15" hidden="false" customHeight="false" outlineLevel="0" collapsed="false">
      <c r="A18" s="17" t="s">
        <v>69</v>
      </c>
      <c r="B18" s="18"/>
      <c r="C18" s="18"/>
      <c r="D18" s="18"/>
      <c r="E18" s="19" t="n">
        <f aca="false">SUM(E7:E17)</f>
        <v>67.6</v>
      </c>
      <c r="F18" s="18"/>
      <c r="G18" s="18"/>
      <c r="H18" s="18"/>
      <c r="I18" s="18"/>
      <c r="J18" s="18"/>
      <c r="K18" s="18"/>
      <c r="L18" s="18"/>
    </row>
    <row r="20" customFormat="false" ht="15" hidden="false" customHeight="false" outlineLevel="0" collapsed="false">
      <c r="A20" s="8" t="s">
        <v>70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</row>
    <row r="21" customFormat="false" ht="28.5" hidden="false" customHeight="true" outlineLevel="0" collapsed="false">
      <c r="A21" s="9" t="s">
        <v>71</v>
      </c>
      <c r="B21" s="9" t="s">
        <v>72</v>
      </c>
      <c r="C21" s="10" t="n">
        <v>1</v>
      </c>
      <c r="D21" s="11" t="n">
        <v>1.5</v>
      </c>
      <c r="E21" s="12" t="n">
        <f aca="false">C21*D21</f>
        <v>1.5</v>
      </c>
      <c r="F21" s="16" t="s">
        <v>73</v>
      </c>
      <c r="G21" s="9" t="s">
        <v>20</v>
      </c>
      <c r="H21" s="14" t="s">
        <v>74</v>
      </c>
      <c r="I21" s="14" t="s">
        <v>21</v>
      </c>
      <c r="J21" s="15" t="s">
        <v>29</v>
      </c>
      <c r="K21" s="9" t="s">
        <v>75</v>
      </c>
      <c r="L21" s="9" t="s">
        <v>76</v>
      </c>
    </row>
    <row r="22" customFormat="false" ht="28.5" hidden="false" customHeight="true" outlineLevel="0" collapsed="false">
      <c r="A22" s="9" t="s">
        <v>77</v>
      </c>
      <c r="B22" s="9" t="s">
        <v>72</v>
      </c>
      <c r="C22" s="10" t="n">
        <v>1</v>
      </c>
      <c r="D22" s="11" t="n">
        <v>3</v>
      </c>
      <c r="E22" s="12" t="n">
        <f aca="false">C22*D22</f>
        <v>3</v>
      </c>
      <c r="F22" s="16" t="s">
        <v>73</v>
      </c>
      <c r="G22" s="9" t="s">
        <v>20</v>
      </c>
      <c r="H22" s="14" t="s">
        <v>78</v>
      </c>
      <c r="I22" s="14" t="s">
        <v>21</v>
      </c>
      <c r="J22" s="15" t="s">
        <v>29</v>
      </c>
      <c r="K22" s="9" t="s">
        <v>79</v>
      </c>
      <c r="L22" s="9" t="s">
        <v>76</v>
      </c>
    </row>
    <row r="23" customFormat="false" ht="28.5" hidden="false" customHeight="true" outlineLevel="0" collapsed="false">
      <c r="A23" s="9" t="s">
        <v>80</v>
      </c>
      <c r="B23" s="9" t="s">
        <v>81</v>
      </c>
      <c r="C23" s="10" t="n">
        <v>1</v>
      </c>
      <c r="D23" s="11" t="n">
        <v>1.5</v>
      </c>
      <c r="E23" s="12" t="n">
        <f aca="false">C23*D23</f>
        <v>1.5</v>
      </c>
      <c r="F23" s="16" t="s">
        <v>73</v>
      </c>
      <c r="G23" s="9" t="s">
        <v>20</v>
      </c>
      <c r="H23" s="14" t="s">
        <v>82</v>
      </c>
      <c r="I23" s="20"/>
      <c r="J23" s="15" t="s">
        <v>29</v>
      </c>
      <c r="K23" s="9"/>
      <c r="L23" s="9" t="s">
        <v>76</v>
      </c>
    </row>
    <row r="24" customFormat="false" ht="28.5" hidden="false" customHeight="true" outlineLevel="0" collapsed="false">
      <c r="A24" s="9" t="s">
        <v>83</v>
      </c>
      <c r="B24" s="9" t="s">
        <v>84</v>
      </c>
      <c r="C24" s="10" t="n">
        <v>1</v>
      </c>
      <c r="D24" s="11" t="n">
        <v>1</v>
      </c>
      <c r="E24" s="12" t="n">
        <f aca="false">C24*D24</f>
        <v>1</v>
      </c>
      <c r="F24" s="16" t="s">
        <v>73</v>
      </c>
      <c r="G24" s="9" t="s">
        <v>20</v>
      </c>
      <c r="H24" s="14" t="s">
        <v>85</v>
      </c>
      <c r="I24" s="20"/>
      <c r="J24" s="15" t="s">
        <v>29</v>
      </c>
      <c r="K24" s="9"/>
      <c r="L24" s="9" t="s">
        <v>76</v>
      </c>
    </row>
    <row r="25" customFormat="false" ht="28.5" hidden="false" customHeight="true" outlineLevel="0" collapsed="false">
      <c r="A25" s="9" t="s">
        <v>86</v>
      </c>
      <c r="B25" s="9" t="s">
        <v>54</v>
      </c>
      <c r="C25" s="10" t="n">
        <v>1</v>
      </c>
      <c r="D25" s="11" t="n">
        <v>1</v>
      </c>
      <c r="E25" s="12" t="n">
        <f aca="false">C25*D25</f>
        <v>1</v>
      </c>
      <c r="F25" s="16" t="s">
        <v>73</v>
      </c>
      <c r="G25" s="9" t="s">
        <v>20</v>
      </c>
      <c r="H25" s="14" t="s">
        <v>87</v>
      </c>
      <c r="I25" s="14" t="s">
        <v>21</v>
      </c>
      <c r="J25" s="15" t="s">
        <v>29</v>
      </c>
      <c r="K25" s="9"/>
      <c r="L25" s="9" t="s">
        <v>76</v>
      </c>
    </row>
    <row r="26" customFormat="false" ht="28.5" hidden="false" customHeight="true" outlineLevel="0" collapsed="false">
      <c r="A26" s="9" t="s">
        <v>88</v>
      </c>
      <c r="B26" s="9" t="s">
        <v>84</v>
      </c>
      <c r="C26" s="10" t="n">
        <v>1</v>
      </c>
      <c r="D26" s="11" t="n">
        <v>2.5</v>
      </c>
      <c r="E26" s="12" t="n">
        <f aca="false">C26*D26</f>
        <v>2.5</v>
      </c>
      <c r="F26" s="16" t="s">
        <v>73</v>
      </c>
      <c r="G26" s="9" t="s">
        <v>20</v>
      </c>
      <c r="H26" s="14" t="s">
        <v>89</v>
      </c>
      <c r="I26" s="14" t="s">
        <v>21</v>
      </c>
      <c r="J26" s="15" t="s">
        <v>29</v>
      </c>
      <c r="K26" s="9"/>
      <c r="L26" s="9" t="s">
        <v>76</v>
      </c>
    </row>
    <row r="27" customFormat="false" ht="28.5" hidden="false" customHeight="true" outlineLevel="0" collapsed="false">
      <c r="A27" s="9" t="s">
        <v>90</v>
      </c>
      <c r="B27" s="9" t="s">
        <v>18</v>
      </c>
      <c r="C27" s="10" t="n">
        <v>1</v>
      </c>
      <c r="D27" s="11" t="n">
        <v>2</v>
      </c>
      <c r="E27" s="12" t="n">
        <f aca="false">C27*D27</f>
        <v>2</v>
      </c>
      <c r="F27" s="16" t="s">
        <v>27</v>
      </c>
      <c r="G27" s="9" t="s">
        <v>20</v>
      </c>
      <c r="H27" s="14" t="s">
        <v>21</v>
      </c>
      <c r="I27" s="14" t="s">
        <v>91</v>
      </c>
      <c r="J27" s="15" t="s">
        <v>23</v>
      </c>
      <c r="K27" s="9" t="s">
        <v>92</v>
      </c>
      <c r="L27" s="9" t="s">
        <v>76</v>
      </c>
    </row>
    <row r="28" customFormat="false" ht="28.5" hidden="false" customHeight="true" outlineLevel="0" collapsed="false">
      <c r="A28" s="9" t="s">
        <v>93</v>
      </c>
      <c r="B28" s="9" t="s">
        <v>94</v>
      </c>
      <c r="C28" s="10" t="n">
        <v>1</v>
      </c>
      <c r="D28" s="11" t="n">
        <v>1</v>
      </c>
      <c r="E28" s="12" t="n">
        <f aca="false">C28*D28</f>
        <v>1</v>
      </c>
      <c r="F28" s="16" t="s">
        <v>73</v>
      </c>
      <c r="G28" s="9" t="s">
        <v>20</v>
      </c>
      <c r="H28" s="14" t="s">
        <v>95</v>
      </c>
      <c r="I28" s="14" t="s">
        <v>21</v>
      </c>
      <c r="J28" s="15" t="s">
        <v>29</v>
      </c>
      <c r="K28" s="9"/>
      <c r="L28" s="9" t="s">
        <v>76</v>
      </c>
    </row>
    <row r="29" customFormat="false" ht="28.5" hidden="false" customHeight="true" outlineLevel="0" collapsed="false">
      <c r="A29" s="9" t="s">
        <v>96</v>
      </c>
      <c r="B29" s="9" t="s">
        <v>97</v>
      </c>
      <c r="C29" s="10" t="n">
        <v>1</v>
      </c>
      <c r="D29" s="11" t="n">
        <v>1</v>
      </c>
      <c r="E29" s="12" t="n">
        <f aca="false">C29*D29</f>
        <v>1</v>
      </c>
      <c r="F29" s="16" t="s">
        <v>73</v>
      </c>
      <c r="G29" s="9" t="s">
        <v>20</v>
      </c>
      <c r="H29" s="14" t="s">
        <v>98</v>
      </c>
      <c r="I29" s="14" t="s">
        <v>21</v>
      </c>
      <c r="J29" s="15" t="s">
        <v>29</v>
      </c>
      <c r="K29" s="9"/>
      <c r="L29" s="9" t="s">
        <v>76</v>
      </c>
    </row>
    <row r="30" customFormat="false" ht="28.5" hidden="false" customHeight="true" outlineLevel="0" collapsed="false">
      <c r="A30" s="9" t="s">
        <v>99</v>
      </c>
      <c r="B30" s="9" t="s">
        <v>54</v>
      </c>
      <c r="C30" s="10" t="n">
        <v>1</v>
      </c>
      <c r="D30" s="11" t="n">
        <v>1</v>
      </c>
      <c r="E30" s="12" t="n">
        <f aca="false">C30*D30</f>
        <v>1</v>
      </c>
      <c r="F30" s="16" t="s">
        <v>73</v>
      </c>
      <c r="G30" s="9" t="s">
        <v>20</v>
      </c>
      <c r="H30" s="14" t="s">
        <v>100</v>
      </c>
      <c r="I30" s="14" t="s">
        <v>21</v>
      </c>
      <c r="J30" s="15" t="s">
        <v>29</v>
      </c>
      <c r="K30" s="9"/>
      <c r="L30" s="9" t="s">
        <v>76</v>
      </c>
    </row>
    <row r="31" customFormat="false" ht="28.5" hidden="false" customHeight="true" outlineLevel="0" collapsed="false">
      <c r="A31" s="9" t="s">
        <v>101</v>
      </c>
      <c r="B31" s="9" t="s">
        <v>54</v>
      </c>
      <c r="C31" s="10" t="n">
        <v>1</v>
      </c>
      <c r="D31" s="11" t="n">
        <v>2.5</v>
      </c>
      <c r="E31" s="12" t="n">
        <f aca="false">C31*D31</f>
        <v>2.5</v>
      </c>
      <c r="F31" s="13" t="s">
        <v>102</v>
      </c>
      <c r="G31" s="9" t="s">
        <v>103</v>
      </c>
      <c r="H31" s="14" t="s">
        <v>104</v>
      </c>
      <c r="I31" s="20"/>
      <c r="J31" s="15" t="s">
        <v>105</v>
      </c>
      <c r="K31" s="9" t="s">
        <v>106</v>
      </c>
      <c r="L31" s="9" t="s">
        <v>107</v>
      </c>
    </row>
    <row r="32" customFormat="false" ht="15" hidden="false" customHeight="false" outlineLevel="0" collapsed="false">
      <c r="A32" s="17" t="s">
        <v>108</v>
      </c>
      <c r="B32" s="18"/>
      <c r="C32" s="18"/>
      <c r="D32" s="18"/>
      <c r="E32" s="19" t="n">
        <f aca="false">SUM(E21:E31)</f>
        <v>18</v>
      </c>
      <c r="F32" s="18"/>
      <c r="G32" s="18"/>
      <c r="H32" s="18"/>
      <c r="I32" s="18"/>
      <c r="J32" s="18"/>
      <c r="K32" s="18"/>
      <c r="L32" s="18"/>
    </row>
    <row r="34" customFormat="false" ht="18" hidden="false" customHeight="true" outlineLevel="0" collapsed="false">
      <c r="A34" s="21" t="s">
        <v>109</v>
      </c>
      <c r="B34" s="21"/>
      <c r="C34" s="21"/>
      <c r="D34" s="21"/>
      <c r="E34" s="22" t="n">
        <f aca="false">E18+E32</f>
        <v>85.6</v>
      </c>
      <c r="F34" s="21"/>
      <c r="G34" s="21"/>
      <c r="H34" s="21"/>
      <c r="I34" s="21"/>
      <c r="J34" s="21"/>
      <c r="K34" s="21"/>
      <c r="L34" s="21"/>
    </row>
    <row r="36" customFormat="false" ht="15" hidden="false" customHeight="false" outlineLevel="0" collapsed="false">
      <c r="A36" s="8" t="s">
        <v>110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</row>
    <row r="37" customFormat="false" ht="28.5" hidden="false" customHeight="true" outlineLevel="0" collapsed="false">
      <c r="A37" s="9" t="s">
        <v>111</v>
      </c>
      <c r="B37" s="9" t="s">
        <v>63</v>
      </c>
      <c r="C37" s="10" t="n">
        <v>1</v>
      </c>
      <c r="D37" s="11" t="n">
        <v>4</v>
      </c>
      <c r="E37" s="12" t="n">
        <f aca="false">C37*D37</f>
        <v>4</v>
      </c>
      <c r="F37" s="16" t="s">
        <v>112</v>
      </c>
      <c r="G37" s="9" t="s">
        <v>113</v>
      </c>
      <c r="H37" s="14" t="s">
        <v>114</v>
      </c>
      <c r="I37" s="14" t="s">
        <v>21</v>
      </c>
      <c r="J37" s="15" t="s">
        <v>29</v>
      </c>
      <c r="K37" s="9" t="s">
        <v>115</v>
      </c>
      <c r="L37" s="9" t="s">
        <v>116</v>
      </c>
    </row>
    <row r="38" customFormat="false" ht="28.5" hidden="false" customHeight="true" outlineLevel="0" collapsed="false">
      <c r="A38" s="9" t="s">
        <v>117</v>
      </c>
      <c r="B38" s="9" t="s">
        <v>18</v>
      </c>
      <c r="C38" s="10" t="n">
        <v>1</v>
      </c>
      <c r="D38" s="11" t="n">
        <v>12</v>
      </c>
      <c r="E38" s="12" t="n">
        <f aca="false">C38*D38</f>
        <v>12</v>
      </c>
      <c r="F38" s="16" t="s">
        <v>118</v>
      </c>
      <c r="G38" s="9" t="s">
        <v>119</v>
      </c>
      <c r="H38" s="14" t="s">
        <v>120</v>
      </c>
      <c r="I38" s="20"/>
      <c r="J38" s="15" t="s">
        <v>105</v>
      </c>
      <c r="K38" s="9" t="s">
        <v>121</v>
      </c>
      <c r="L38" s="9" t="s">
        <v>122</v>
      </c>
    </row>
    <row r="39" customFormat="false" ht="15.75" hidden="false" customHeight="true" outlineLevel="0" collapsed="false">
      <c r="A39" s="9" t="s">
        <v>123</v>
      </c>
      <c r="B39" s="9" t="s">
        <v>124</v>
      </c>
      <c r="C39" s="10" t="n">
        <v>1</v>
      </c>
      <c r="D39" s="11" t="n">
        <v>5</v>
      </c>
      <c r="E39" s="12" t="n">
        <f aca="false">C39*D39</f>
        <v>5</v>
      </c>
      <c r="F39" s="23" t="s">
        <v>125</v>
      </c>
      <c r="G39" s="9" t="s">
        <v>126</v>
      </c>
      <c r="H39" s="20"/>
      <c r="I39" s="20"/>
      <c r="J39" s="15"/>
      <c r="K39" s="9" t="s">
        <v>127</v>
      </c>
      <c r="L39" s="9" t="s">
        <v>128</v>
      </c>
    </row>
    <row r="40" customFormat="false" ht="28.5" hidden="false" customHeight="true" outlineLevel="0" collapsed="false">
      <c r="A40" s="9" t="s">
        <v>129</v>
      </c>
      <c r="B40" s="9" t="s">
        <v>130</v>
      </c>
      <c r="C40" s="10" t="n">
        <v>1</v>
      </c>
      <c r="D40" s="11" t="n">
        <v>22</v>
      </c>
      <c r="E40" s="12" t="n">
        <f aca="false">C40*D40</f>
        <v>22</v>
      </c>
      <c r="F40" s="23" t="s">
        <v>125</v>
      </c>
      <c r="G40" s="9" t="s">
        <v>131</v>
      </c>
      <c r="H40" s="20"/>
      <c r="I40" s="20"/>
      <c r="J40" s="15"/>
      <c r="K40" s="9" t="s">
        <v>132</v>
      </c>
      <c r="L40" s="9" t="s">
        <v>133</v>
      </c>
    </row>
    <row r="41" customFormat="false" ht="15.75" hidden="false" customHeight="true" outlineLevel="0" collapsed="false">
      <c r="A41" s="9" t="s">
        <v>134</v>
      </c>
      <c r="B41" s="9" t="s">
        <v>18</v>
      </c>
      <c r="C41" s="10" t="n">
        <v>1</v>
      </c>
      <c r="D41" s="11" t="n">
        <v>3</v>
      </c>
      <c r="E41" s="12" t="n">
        <f aca="false">C41*D41</f>
        <v>3</v>
      </c>
      <c r="F41" s="23" t="s">
        <v>125</v>
      </c>
      <c r="G41" s="9" t="s">
        <v>135</v>
      </c>
      <c r="H41" s="20"/>
      <c r="I41" s="20"/>
      <c r="J41" s="15"/>
      <c r="K41" s="9" t="s">
        <v>136</v>
      </c>
      <c r="L41" s="9" t="s">
        <v>137</v>
      </c>
    </row>
    <row r="42" customFormat="false" ht="15" hidden="false" customHeight="false" outlineLevel="0" collapsed="false">
      <c r="A42" s="17" t="s">
        <v>138</v>
      </c>
      <c r="B42" s="18"/>
      <c r="C42" s="18"/>
      <c r="D42" s="18"/>
      <c r="E42" s="19" t="n">
        <f aca="false">SUM(E37:E41)</f>
        <v>46</v>
      </c>
      <c r="F42" s="18"/>
      <c r="G42" s="18"/>
      <c r="H42" s="18"/>
      <c r="I42" s="18"/>
      <c r="J42" s="18"/>
      <c r="K42" s="18"/>
      <c r="L42" s="18"/>
    </row>
    <row r="43" customFormat="false" ht="15" hidden="false" customHeight="false" outlineLevel="0" collapsed="false">
      <c r="A43" s="3" t="s">
        <v>139</v>
      </c>
      <c r="E43" s="6" t="n">
        <f aca="false">E34+E42</f>
        <v>131.6</v>
      </c>
    </row>
    <row r="45" customFormat="false" ht="15" hidden="false" customHeight="false" outlineLevel="0" collapsed="false">
      <c r="A45" s="8" t="s">
        <v>140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</row>
    <row r="46" customFormat="false" ht="28.5" hidden="false" customHeight="true" outlineLevel="0" collapsed="false">
      <c r="A46" s="9" t="s">
        <v>141</v>
      </c>
      <c r="B46" s="9" t="s">
        <v>63</v>
      </c>
      <c r="C46" s="10" t="n">
        <v>1</v>
      </c>
      <c r="D46" s="11" t="n">
        <v>1.5</v>
      </c>
      <c r="E46" s="12" t="n">
        <f aca="false">C46*D46</f>
        <v>1.5</v>
      </c>
      <c r="F46" s="24" t="s">
        <v>142</v>
      </c>
      <c r="G46" s="9" t="s">
        <v>20</v>
      </c>
      <c r="H46" s="14" t="s">
        <v>21</v>
      </c>
      <c r="I46" s="14" t="s">
        <v>143</v>
      </c>
      <c r="J46" s="15" t="s">
        <v>23</v>
      </c>
      <c r="K46" s="9" t="s">
        <v>144</v>
      </c>
      <c r="L46" s="9" t="s">
        <v>145</v>
      </c>
    </row>
    <row r="47" customFormat="false" ht="15" hidden="false" customHeight="false" outlineLevel="0" collapsed="false">
      <c r="A47" s="17" t="s">
        <v>146</v>
      </c>
      <c r="B47" s="18"/>
      <c r="C47" s="18"/>
      <c r="D47" s="18"/>
      <c r="E47" s="19" t="n">
        <f aca="false">SUM(E46:E46)</f>
        <v>1.5</v>
      </c>
      <c r="F47" s="18"/>
      <c r="G47" s="18"/>
      <c r="H47" s="18"/>
      <c r="I47" s="18"/>
      <c r="J47" s="18"/>
      <c r="K47" s="18"/>
      <c r="L47" s="18"/>
    </row>
    <row r="48" customFormat="false" ht="15" hidden="false" customHeight="false" outlineLevel="0" collapsed="false">
      <c r="A48" s="3" t="s">
        <v>147</v>
      </c>
      <c r="E48" s="6" t="n">
        <f aca="false">E34+E47</f>
        <v>87.1</v>
      </c>
    </row>
    <row r="50" customFormat="false" ht="15" hidden="false" customHeight="false" outlineLevel="0" collapsed="false">
      <c r="A50" s="8" t="s">
        <v>148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</row>
    <row r="51" customFormat="false" ht="15" hidden="false" customHeight="true" outlineLevel="0" collapsed="false">
      <c r="A51" s="25" t="s">
        <v>149</v>
      </c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</row>
    <row r="52" customFormat="false" ht="15" hidden="false" customHeight="true" outlineLevel="0" collapsed="false">
      <c r="A52" s="25" t="s">
        <v>150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</row>
    <row r="54" customFormat="false" ht="15" hidden="false" customHeight="false" outlineLevel="0" collapsed="false">
      <c r="A54" s="8" t="s">
        <v>151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customFormat="false" ht="15" hidden="false" customHeight="true" outlineLevel="0" collapsed="false">
      <c r="A55" s="26" t="s">
        <v>152</v>
      </c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</row>
    <row r="56" customFormat="false" ht="15" hidden="false" customHeight="true" outlineLevel="0" collapsed="false">
      <c r="A56" s="26" t="s">
        <v>153</v>
      </c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</row>
    <row r="57" customFormat="false" ht="15" hidden="false" customHeight="true" outlineLevel="0" collapsed="false">
      <c r="A57" s="26" t="s">
        <v>154</v>
      </c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</row>
    <row r="58" customFormat="false" ht="15" hidden="false" customHeight="true" outlineLevel="0" collapsed="false">
      <c r="A58" s="26" t="s">
        <v>155</v>
      </c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</row>
    <row r="59" customFormat="false" ht="15" hidden="false" customHeight="true" outlineLevel="0" collapsed="false">
      <c r="A59" s="26" t="s">
        <v>156</v>
      </c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</row>
    <row r="60" customFormat="false" ht="15" hidden="false" customHeight="true" outlineLevel="0" collapsed="false">
      <c r="A60" s="26" t="s">
        <v>157</v>
      </c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</row>
  </sheetData>
  <mergeCells count="8">
    <mergeCell ref="A51:L51"/>
    <mergeCell ref="A52:L52"/>
    <mergeCell ref="A55:L55"/>
    <mergeCell ref="A56:L56"/>
    <mergeCell ref="A57:L57"/>
    <mergeCell ref="A58:L58"/>
    <mergeCell ref="A59:L59"/>
    <mergeCell ref="A60:L60"/>
  </mergeCells>
  <conditionalFormatting sqref="F3">
    <cfRule type="expression" priority="2" aboveAverage="0" equalAverage="0" bottom="0" percent="0" rank="0" text="" dxfId="0">
      <formula>$E$3&lt;=$B$3</formula>
    </cfRule>
    <cfRule type="expression" priority="3" aboveAverage="0" equalAverage="0" bottom="0" percent="0" rank="0" text="" dxfId="1">
      <formula>$E$3&gt;$B$3</formula>
    </cfRule>
  </conditionalFormatting>
  <hyperlinks>
    <hyperlink ref="H7" r:id="rId1" display="AliExpress – DAZ's link"/>
    <hyperlink ref="I7" r:id="rId2" display="AliExpress search: 150 kg load cell"/>
    <hyperlink ref="H8" r:id="rId3" display="AliExpress search: Leonardo R3"/>
    <hyperlink ref="I8" r:id="rId4" display="AliExpress – DAZ's link"/>
    <hyperlink ref="H9" r:id="rId5" display="AliExpress search: HX711"/>
    <hyperlink ref="I9" r:id="rId6" display="AliExpress – DAZ's link"/>
    <hyperlink ref="H10" r:id="rId7" display="AliExpress search: 8 mm steel rod"/>
    <hyperlink ref="I10" r:id="rId8" display="AliExpress – DAZ's link"/>
    <hyperlink ref="H11" r:id="rId9" display="AliExpress search: SK8 support"/>
    <hyperlink ref="I11" r:id="rId10" display="AliExpress – DAZ's link"/>
    <hyperlink ref="H12" r:id="rId11" display="AliExpress search: KY-035 hall sensor"/>
    <hyperlink ref="I12" r:id="rId12" display="AliExpress – DAZ's link"/>
    <hyperlink ref="H13" r:id="rId13" display="AliExpress – DAZ's link"/>
    <hyperlink ref="I13" r:id="rId14" display="AliExpress search: brake pedal spring"/>
    <hyperlink ref="H14" r:id="rId15" display="AliExpress – DAZ's link"/>
    <hyperlink ref="I14" r:id="rId16" display="AliExpress search: skateboard bushings 85A"/>
    <hyperlink ref="H15" r:id="rId17" display="AliExpress search: 20×10×3 magnets"/>
    <hyperlink ref="I15" r:id="rId18" display="AliExpress – DAZ's link"/>
    <hyperlink ref="H16" r:id="rId19" display="AliExpress – DAZ's link"/>
    <hyperlink ref="I16" r:id="rId20" display="AliExpress search: 1.5 mm wire rope clip"/>
    <hyperlink ref="H17" r:id="rId21" display="AliExpress – DAZ's link"/>
    <hyperlink ref="I17" r:id="rId22" display="AliExpress search: hand-gripper spring"/>
    <hyperlink ref="H21" r:id="rId23" display="AliExpress search: M5 nut"/>
    <hyperlink ref="I21" r:id="rId24" display="AliExpress – DAZ's link"/>
    <hyperlink ref="H22" r:id="rId25" display="AliExpress search: M5x25 socket head"/>
    <hyperlink ref="I22" r:id="rId26" display="AliExpress – DAZ's link"/>
    <hyperlink ref="H23" r:id="rId27" display="AliExpress search: M5 washer"/>
    <hyperlink ref="H24" r:id="rId28" display="AliExpress search: M8 washer"/>
    <hyperlink ref="H25" r:id="rId29" display="AliExpress search: M8 nut"/>
    <hyperlink ref="I25" r:id="rId30" display="AliExpress – DAZ's link"/>
    <hyperlink ref="H26" r:id="rId31" display="AliExpress search: M8x20 countersunk"/>
    <hyperlink ref="I26" r:id="rId32" display="AliExpress – DAZ's link"/>
    <hyperlink ref="H27" r:id="rId33" display="AliExpress – DAZ's link"/>
    <hyperlink ref="I27" r:id="rId34" display="Bunnings search: M8 threaded rod"/>
    <hyperlink ref="H28" r:id="rId35" display="AliExpress search: M2x8 self-tapping"/>
    <hyperlink ref="I28" r:id="rId36" display="AliExpress – DAZ's link"/>
    <hyperlink ref="H29" r:id="rId37" display="AliExpress search: M4x10 countersunk self-tapping"/>
    <hyperlink ref="I29" r:id="rId38" display="AliExpress – DAZ's link"/>
    <hyperlink ref="H30" r:id="rId39" display="AliExpress search: M3x25 countersunk self-tapping"/>
    <hyperlink ref="I30" r:id="rId40" display="AliExpress – DAZ's link"/>
    <hyperlink ref="H31" r:id="rId41" display="Bunnings search: 3 mm nails"/>
    <hyperlink ref="H37" r:id="rId42" display="AliExpress search: MTB brake cable"/>
    <hyperlink ref="I37" r:id="rId43" display="AliExpress – DAZ's link"/>
    <hyperlink ref="H38" r:id="rId44" display="Bunnings search: plywood"/>
    <hyperlink ref="H46" r:id="rId45" display="AliExpress – DAZ's link"/>
    <hyperlink ref="I46" r:id="rId46" display="AliExpress search: bike cable end cap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2026-10-03T07:29:22Z</dcterms:created>
  <dc:creator>openpyxl</dc:creator>
  <dc:description/>
  <dc:language>en-US</dc:language>
  <cp:lastModifiedBy/>
  <dcterms:modified xsi:type="dcterms:W3CDTF">2026-10-03T07:29:22Z</dcterms:modified>
  <cp:revision>0</cp:revision>
  <dc:subject>Parts list in AUD</dc:subject>
  <dc:title>DAZ Racing Load-Cell Pedal Set (throttle, brake, clutch) – budget parts list (AUD)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