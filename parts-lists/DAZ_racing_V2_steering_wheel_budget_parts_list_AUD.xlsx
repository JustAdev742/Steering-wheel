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dget parts list" sheetId="1" state="visible" r:id="rId3"/>
  </sheets>
  <definedNames>
    <definedName function="false" hidden="false" localSheetId="0" name="_xlnm.Print_Titles" vbProcedure="false">'Budget parts list'!$5:$5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<sst xmlns="http://schemas.openxmlformats.org/spreadsheetml/2006/main" count="270" uniqueCount="162">
  <si>
    <t xml:space="preserve">DAZ Racing V2 Steering Wheel – budget parts list (AUD)</t>
  </si>
  <si>
    <t xml:space="preserve">Budget version of DAZ's parts list, re-priced for Australia. Prices are estimates in AUD incl. 10% GST, checked 2 Oct 2026 – AliExpress prices change daily, so edit the blue cells and everything re-totals.</t>
  </si>
  <si>
    <t xml:space="preserve">Budget (AUD) – edit the yellow cell</t>
  </si>
  <si>
    <t xml:space="preserve">Total</t>
  </si>
  <si>
    <t xml:space="preserve">Component</t>
  </si>
  <si>
    <t xml:space="preserve">Need</t>
  </si>
  <si>
    <t xml:space="preserve">Buy</t>
  </si>
  <si>
    <t xml:space="preserve">Each (AUD)</t>
  </si>
  <si>
    <t xml:space="preserve">Total (AUD)</t>
  </si>
  <si>
    <t xml:space="preserve">Change vs DAZ's list</t>
  </si>
  <si>
    <t xml:space="preserve">Where to buy</t>
  </si>
  <si>
    <t xml:space="preserve">Link</t>
  </si>
  <si>
    <t xml:space="preserve">Notes</t>
  </si>
  <si>
    <t xml:space="preserve">Price basis</t>
  </si>
  <si>
    <t xml:space="preserve">1. PARTS TO BUY</t>
  </si>
  <si>
    <t xml:space="preserve">MKS XDrive Mini motor controller (ODrive 3.6 based)</t>
  </si>
  <si>
    <t xml:space="preserve">1</t>
  </si>
  <si>
    <t xml:space="preserve">Kept – cheapest board that runs FFBeast</t>
  </si>
  <si>
    <t xml:space="preserve">AliExpress</t>
  </si>
  <si>
    <t xml:space="preserve">AliExpress – DAZ's link</t>
  </si>
  <si>
    <t xml:space="preserve">Runs the FFBeast firmware for free in its 'light' mode – the paid licence only adds extra settings and buttons wired straight to the controller, which DAZ's design doesn't use. Check the listing includes the brake resistor. DAZ's 'America' link is an ODESC V4.2 (also FFBeast-compatible); only take it if it's clearly cheaper, since the XDrive Mini is what his list is built around.</t>
  </si>
  <si>
    <t xml:space="preserve">DAZ's link: €29.92 sale (May 2025) ≈ AUD 44 incl. GST. 2026 US-store listings US$37–41 ≈ AUD 59–65 incl. GST. Estimate AUD 50 (between the two – check the live price).</t>
  </si>
  <si>
    <t xml:space="preserve">6.5" hoverboard motor</t>
  </si>
  <si>
    <t xml:space="preserve">Already have – $0</t>
  </si>
  <si>
    <t xml:space="preserve">You already own it</t>
  </si>
  <si>
    <t xml:space="preserve">Before you print, check it's a 6.5" (165 mm) motor that spins freely and doesn't grind – DAZ's mount is sized for 6.5" motors.</t>
  </si>
  <si>
    <t xml:space="preserve">You already have it, so it costs nothing.</t>
  </si>
  <si>
    <t xml:space="preserve">Rotary encoder E6B2-CWZ6C (6 mm shaft, NPN output)</t>
  </si>
  <si>
    <t xml:space="preserve">Kept – cheapest variant</t>
  </si>
  <si>
    <t xml:space="preserve">Any resolution from 600 P/R up works (FFBeast asks for ≥1000 counts per turn, and 600 P/R already gives 2,400). DAZ used 2000 P/R – take it if it's only a dollar or two more. NPN output, so it needs the pull-up resistors in section 3.</t>
  </si>
  <si>
    <t xml:space="preserve">DAZ's link: US$13.53 (May 2025) ≈ AUD 21.50 incl. GST; similar 2026 listings US$13.70–15.30.</t>
  </si>
  <si>
    <t xml:space="preserve">Steering wheel rim, 13" / 330 mm flat, aluminium + PVC</t>
  </si>
  <si>
    <t xml:space="preserve">Kept – PVC version</t>
  </si>
  <si>
    <t xml:space="preserve">DAZ: "get this, I can't guarantee this build works with a different one" – so keep his wheel, but pick the PVC (not suede) option, which is the cheapest.</t>
  </si>
  <si>
    <t xml:space="preserve">2026 AliExpress: 13" PVC flat wheels US$20–27 ≈ AUD 32–43 incl. GST (suede ones US$47–55). Estimate AUD 38.</t>
  </si>
  <si>
    <t xml:space="preserve">GT2 timing pulley, 20T, 6 mm bore, 6 mm belt</t>
  </si>
  <si>
    <t xml:space="preserve">Kept</t>
  </si>
  <si>
    <t xml:space="preserve">Goes on the encoder shaft.</t>
  </si>
  <si>
    <t xml:space="preserve">Typical listing US$1–1.50.</t>
  </si>
  <si>
    <t xml:space="preserve">GT2 closed-loop belt, 212 mm, 6 mm wide</t>
  </si>
  <si>
    <t xml:space="preserve">Drives the encoder from the motor.</t>
  </si>
  <si>
    <t xml:space="preserve">Typical listing US$1–2.</t>
  </si>
  <si>
    <t xml:space="preserve">GT2 idler, 20T, 5 mm bore, 6 mm wide</t>
  </si>
  <si>
    <t xml:space="preserve">Keeps the encoder belt tight.</t>
  </si>
  <si>
    <t xml:space="preserve">DAZ's link: US$2.24 (May 2025) ≈ AUD 3.55 incl. GST.</t>
  </si>
  <si>
    <t xml:space="preserve">Power supply, 24 V 10 A (240 W)</t>
  </si>
  <si>
    <t xml:space="preserve">Kept – cheapest listing</t>
  </si>
  <si>
    <t xml:space="preserve">Choose the 24V 10A option with an AU plug. Already own an old laptop charger (19–20 V, ideally 120 W or more)? FFBeast says supplies from 12 V up work at lighter force settings – use it and this line is $0. If the PSU arrives as a bare metal box with screw terminals, the 240 V side must be wired and covered properly; not confident? Buy the enclosed 'adapter' version.</t>
  </si>
  <si>
    <t xml:space="preserve">DAZ's link: US$11.15 (May 2025) ≈ AUD 18 incl. GST. Estimate AUD 20 for the 24V 10A option.</t>
  </si>
  <si>
    <t xml:space="preserve">XT60 connector pair (male + female)</t>
  </si>
  <si>
    <t xml:space="preserve">1 pair</t>
  </si>
  <si>
    <t xml:space="preserve">Kept – smallest pack</t>
  </si>
  <si>
    <t xml:space="preserve">Power plug between the PSU and the controller. One pair is enough, so buy the smallest pack.</t>
  </si>
  <si>
    <t xml:space="preserve">Small packs ≈ US$1–2.</t>
  </si>
  <si>
    <t xml:space="preserve">Motor axle clamp, 16 × 16 mm</t>
  </si>
  <si>
    <t xml:space="preserve">DAZ lists it for the upgraded V2 mount / quick release. It's cheap and the V2 printed parts are designed around it, so it stays.</t>
  </si>
  <si>
    <t xml:space="preserve">Typical listing US$3–5.</t>
  </si>
  <si>
    <t xml:space="preserve">Aluminium tube, 16 mm OD (cut to 100 mm)</t>
  </si>
  <si>
    <t xml:space="preserve">100 mm</t>
  </si>
  <si>
    <t xml:space="preserve">Kept – shortest length</t>
  </si>
  <si>
    <t xml:space="preserve">Buy the shortest length offered (e.g. 250 mm) and cut it to 100 mm with a hacksaw.</t>
  </si>
  <si>
    <t xml:space="preserve">Typical 250 mm length US$2–3.50.</t>
  </si>
  <si>
    <t xml:space="preserve">Quick-release clamp, Arca-Swiss (DAZ's cheaper 'option 2')</t>
  </si>
  <si>
    <t xml:space="preserve">Kept – DAZ's cheaper option</t>
  </si>
  <si>
    <t xml:space="preserve">This is how DAZ's V2 base attaches to the desk (his "aluminum Quick-Release to detach from the desk"), so it's back in now that the motor costs nothing – the build goes together as designed. His first pick, a FANAUE lever clamp, is ≈ AUD 40+. This cheaper listing is titled as a plate: pick its clamp option if it has one; any Arca-Swiss clamp grips the 100 mm plate below.</t>
  </si>
  <si>
    <t xml:space="preserve">Cheap Arca-Swiss clamps US$5–11 (2026) ≈ AUD 8–17.50 incl. GST. Estimate AUD 16.</t>
  </si>
  <si>
    <t xml:space="preserve">Quick-release plate, Arca-Swiss, 100 mm</t>
  </si>
  <si>
    <t xml:space="preserve">Goes with the clamp above.</t>
  </si>
  <si>
    <t xml:space="preserve">Typical listing US$3–5 ≈ AUD 4.80–7.90 incl. GST.</t>
  </si>
  <si>
    <t xml:space="preserve">Subtotal – parts</t>
  </si>
  <si>
    <t xml:space="preserve">2. NUTS &amp; BOLTS (DAZ's list – buy small packs)</t>
  </si>
  <si>
    <t xml:space="preserve">M5 nuts</t>
  </si>
  <si>
    <t xml:space="preserve">4</t>
  </si>
  <si>
    <t xml:space="preserve">On each of DAZ's screw listings pick the exact size and the smallest quantity (10–20 pcs). Bunnings has most of these today but costs 2–3× more. Building the other DAZ projects too? Many sizes repeat across the three lists – buy them once.</t>
  </si>
  <si>
    <t xml:space="preserve">Small AliExpress pack ≈ AUD 1–2.50.</t>
  </si>
  <si>
    <t xml:space="preserve">M5 washers</t>
  </si>
  <si>
    <t xml:space="preserve">2</t>
  </si>
  <si>
    <t xml:space="preserve">AliExpress search: M5 washer</t>
  </si>
  <si>
    <t xml:space="preserve">M5 × 20 cap screw</t>
  </si>
  <si>
    <t xml:space="preserve">M5 × 25 socket head screws</t>
  </si>
  <si>
    <t xml:space="preserve">M5 × 40 socket head screws</t>
  </si>
  <si>
    <t xml:space="preserve">M3 × 10 socket head screws</t>
  </si>
  <si>
    <t xml:space="preserve">3</t>
  </si>
  <si>
    <t xml:space="preserve">M3 × 12 self-tapping screws</t>
  </si>
  <si>
    <t xml:space="preserve">8</t>
  </si>
  <si>
    <t xml:space="preserve">M2.5 × 6 self-tapping screws</t>
  </si>
  <si>
    <t xml:space="preserve">6</t>
  </si>
  <si>
    <t xml:space="preserve">M6 nuts</t>
  </si>
  <si>
    <t xml:space="preserve">M6 × 30 countersunk screws</t>
  </si>
  <si>
    <t xml:space="preserve">M6 × 45 countersunk screw</t>
  </si>
  <si>
    <t xml:space="preserve">3 mm nails</t>
  </si>
  <si>
    <t xml:space="preserve">9</t>
  </si>
  <si>
    <t xml:space="preserve">Bunnings / hardware store</t>
  </si>
  <si>
    <t xml:space="preserve">Bunnings search: 3 mm nails</t>
  </si>
  <si>
    <t xml:space="preserve">The pedal set uses the same nails – one pack covers both.</t>
  </si>
  <si>
    <t xml:space="preserve">Small pack at a hardware store ≈ AUD 2–3.</t>
  </si>
  <si>
    <t xml:space="preserve">Subtotal – nuts &amp; bolts</t>
  </si>
  <si>
    <t xml:space="preserve">3. ALSO NEEDED (not on DAZ's list)</t>
  </si>
  <si>
    <t xml:space="preserve">Encoder pull-up resistors, ≈1–4.7 kΩ (A, B, Z lines)</t>
  </si>
  <si>
    <t xml:space="preserve">New – not on DAZ's list</t>
  </si>
  <si>
    <t xml:space="preserve">AliExpress / Jaycar</t>
  </si>
  <si>
    <t xml:space="preserve">AliExpress search: 2.2k resistor</t>
  </si>
  <si>
    <t xml:space="preserve">FFBeast's encoder guide says NPN encoders like the E6B2 "REQUIRES PULL UP resistors on signal lines". Value and placement per DAZ's / FFBeast's wiring diagram (typically 1–4.7 kΩ); if DAZ's diagram already shows them, these are those.</t>
  </si>
  <si>
    <t xml:space="preserve">A 10–50 pack ≈ AUD 1.</t>
  </si>
  <si>
    <t xml:space="preserve">Subtotal – also needed</t>
  </si>
  <si>
    <t xml:space="preserve">TOTAL – counts toward the AUD budget</t>
  </si>
  <si>
    <t xml:space="preserve">4. OPTIONAL UPGRADE – wheel buttons &amp; magnetic paddles (NOT counted in the total)</t>
  </si>
  <si>
    <t xml:space="preserve">Wireless button board (2.4 GHz zero-delay arcade encoder)</t>
  </si>
  <si>
    <t xml:space="preserve">Removed – optional</t>
  </si>
  <si>
    <t xml:space="preserve">Only needed for buttons and paddles on the wheel. The H-shifter (with its sequential mode) already handles gear changes, and things like pit limiter or wipers can go on the keyboard. Part of the wheel-buttons upgrade (≈ AUD 35 for this whole section).</t>
  </si>
  <si>
    <t xml:space="preserve">A listing with this exact title showed US$4.29 sale / US$17.58 full price in a 2026 search. Estimate AUD 15.</t>
  </si>
  <si>
    <t xml:space="preserve">Push buttons, 16 mm momentary (6-pack)</t>
  </si>
  <si>
    <t xml:space="preserve">2 sets</t>
  </si>
  <si>
    <t xml:space="preserve">Part of the wheel-buttons upgrade (≈ AUD 35 for this whole section).</t>
  </si>
  <si>
    <t xml:space="preserve">DAZ's link: US$1.91 per set (May 2025) ≈ AUD 3.</t>
  </si>
  <si>
    <t xml:space="preserve">Magnets 30 × 10 × 4 mm (magnetic paddles)</t>
  </si>
  <si>
    <t xml:space="preserve">per DAZ's guide</t>
  </si>
  <si>
    <t xml:space="preserve">Small pack ≈ US$2.50–4.</t>
  </si>
  <si>
    <t xml:space="preserve">AA battery holder, 2 × AA</t>
  </si>
  <si>
    <t xml:space="preserve">Powers the wireless board. Part of the wheel-buttons upgrade (≈ AUD 35 for this whole section).</t>
  </si>
  <si>
    <t xml:space="preserve">Typical listing US$0.50–1.</t>
  </si>
  <si>
    <t xml:space="preserve">Limit switches with roller lever (paddles), 10-pack</t>
  </si>
  <si>
    <t xml:space="preserve">Paddle switches. DAZ's shifter uses a 10-pack of roller-lever switches and leaves 5 spare – if they're the same size (compare the photos), this costs nothing extra. Part of the wheel-buttons upgrade (≈ AUD 35 for this whole section).</t>
  </si>
  <si>
    <t xml:space="preserve">DAZ's link: US$3.57 per 10 (May 2025) ≈ AUD 5.70.</t>
  </si>
  <si>
    <t xml:space="preserve">2 × AA batteries</t>
  </si>
  <si>
    <t xml:space="preserve">Removed – optional (not on DAZ's list)</t>
  </si>
  <si>
    <t xml:space="preserve">Supermarket / Kmart</t>
  </si>
  <si>
    <t xml:space="preserve">For the wireless board. Part of the wheel-buttons upgrade (≈ AUD 35 for this whole section).</t>
  </si>
  <si>
    <t xml:space="preserve">Supermarket price.</t>
  </si>
  <si>
    <t xml:space="preserve">Upgrade subtotal (not counted)</t>
  </si>
  <si>
    <t xml:space="preserve">Total with the buttons upgrade</t>
  </si>
  <si>
    <t xml:space="preserve">5. NOT COUNTED – things you may already have</t>
  </si>
  <si>
    <t xml:space="preserve">PLA+ filament for the printed parts (≈1 kg – see DAZ's guide)</t>
  </si>
  <si>
    <t xml:space="preserve">≈1 kg</t>
  </si>
  <si>
    <t xml:space="preserve">Not counted</t>
  </si>
  <si>
    <t xml:space="preserve">AliExpress / Amazon AU</t>
  </si>
  <si>
    <t xml:space="preserve">DAZ's lists don't include filament. Budget PLA+ is about AUD 18–25 per kg on sale.</t>
  </si>
  <si>
    <t xml:space="preserve">Typical AU price for a budget 1 kg roll.</t>
  </si>
  <si>
    <t xml:space="preserve">Hook-up wire, solder, heat-shrink</t>
  </si>
  <si>
    <t xml:space="preserve">–</t>
  </si>
  <si>
    <t xml:space="preserve">Jaycar / AliExpress</t>
  </si>
  <si>
    <t xml:space="preserve">For wiring the encoder, power and motor.</t>
  </si>
  <si>
    <t xml:space="preserve">Typical small-pack prices.</t>
  </si>
  <si>
    <t xml:space="preserve">USB data cable for the controller</t>
  </si>
  <si>
    <t xml:space="preserve">Kmart / AliExpress</t>
  </si>
  <si>
    <t xml:space="preserve">Connects the XDrive Mini to the PC.</t>
  </si>
  <si>
    <t xml:space="preserve">Typical price.</t>
  </si>
  <si>
    <t xml:space="preserve">If you need to buy these too</t>
  </si>
  <si>
    <t xml:space="preserve">All-in total including section 5</t>
  </si>
  <si>
    <t xml:space="preserve">WAYS TO SAVE EVEN MORE</t>
  </si>
  <si>
    <t xml:space="preserve">• Reuse an old 19–20 V laptop charger (ideally 120 W+) instead of buying the 24 V PSU: −AUD 20 (lower maximum force).</t>
  </si>
  <si>
    <t xml:space="preserve">• Skip the quick release and bolt the base straight to your desk mount: −AUD 23 (only if DAZ's guide shows a solid way to do it).</t>
  </si>
  <si>
    <t xml:space="preserve">• Building the shifter and pedals too? Buy the screws once – several sizes repeat: −AUD 5 or more.</t>
  </si>
  <si>
    <t xml:space="preserve">• Adding the buttons later? Use 2 of the 5 spare roller-lever switches from the shifter's 10-pack for the paddles (if they're the same size): the upgrade drops to ≈ AUD 29.50.</t>
  </si>
  <si>
    <t xml:space="preserve">• Order the controller, rim and encoder in AliExpress's 11.11 sale (11 November).</t>
  </si>
  <si>
    <t xml:space="preserve">ASSUMPTIONS &amp; SOURCES</t>
  </si>
  <si>
    <t xml:space="preserve">• Prices: estimates in AUD including 10% GST (AliExpress adds GST to Australian orders under AUD 1,000). Blue cells are inputs you can change; black cells are formulas.</t>
  </si>
  <si>
    <t xml:space="preserve">• Exchange rates used to convert reference prices: 1 USD = 1.4425 AUD, 1 EUR = 1.6249 AUD (ExchangeRate-API, open.er-api.com, updated 2 Oct 2026). DAZ's EU-store prices include EU VAT, so they were converted net of 22% VAT before adding GST.</t>
  </si>
  <si>
    <t xml:space="preserve">• Price basis: DAZ's own AliExpress links carry the price from when he made them (mostly May 2025) – quoted where available. Other estimates come from typical AliExpress listings seen in 2026.</t>
  </si>
  <si>
    <t xml:space="preserve">• Shipping: most small AliExpress items ship free to Australia once the order passes the free-shipping threshold; bulky items can add a few dollars. AliExpress's 11.11 sale (11 November) usually brings bigger discounts.</t>
  </si>
  <si>
    <t xml:space="preserve">• Links: 'AliExpress – DAZ's link' entries are DAZ's own (affiliate) links from his original list, so buying through them still supports him; they show AUD prices for Australian accounts. Links labelled 'search' are plain searches.</t>
  </si>
  <si>
    <t xml:space="preserve">• Based on DAZ Racing's V2 steering wheel parts list. Firmware: FFBeast (free 'light' mode). Printing and assembly per DAZ's guide.</t>
  </si>
</sst>
</file>

<file path=xl/styles.xml><?xml version="1.0" encoding="utf-8"?>
<styleSheet xmlns="http://schemas.openxmlformats.org/spreadsheetml/2006/main">
  <numFmts count="4">
    <numFmt numFmtId="164" formatCode="General"/>
    <numFmt numFmtId="165" formatCode="\$#,##0"/>
    <numFmt numFmtId="166" formatCode="\$#,##0.00;&quot;-$&quot;#,##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name val="Arial"/>
      <family val="0"/>
      <charset val="1"/>
    </font>
    <font>
      <b val="true"/>
      <sz val="10"/>
      <color rgb="FF0000FF"/>
      <name val="Arial"/>
      <family val="0"/>
      <charset val="1"/>
    </font>
    <font>
      <b val="true"/>
      <sz val="10"/>
      <color rgb="FFFFFFFF"/>
      <name val="Arial"/>
      <family val="0"/>
      <charset val="1"/>
    </font>
    <font>
      <sz val="10"/>
      <name val="Arial"/>
      <family val="0"/>
      <charset val="1"/>
    </font>
    <font>
      <sz val="10"/>
      <color rgb="FF0000FF"/>
      <name val="Arial"/>
      <family val="0"/>
      <charset val="1"/>
    </font>
    <font>
      <u val="single"/>
      <sz val="10"/>
      <color rgb="FF0563C1"/>
      <name val="Arial"/>
      <family val="0"/>
      <charset val="1"/>
    </font>
    <font>
      <sz val="9"/>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1F4E78"/>
        <bgColor rgb="FF1F3864"/>
      </patternFill>
    </fill>
    <fill>
      <patternFill patternType="solid">
        <fgColor rgb="FFD9E1F2"/>
        <bgColor rgb="FFDDEBF7"/>
      </patternFill>
    </fill>
    <fill>
      <patternFill patternType="solid">
        <fgColor rgb="FFE2EFDA"/>
        <bgColor rgb="FFEDEDED"/>
      </patternFill>
    </fill>
    <fill>
      <patternFill patternType="solid">
        <fgColor rgb="FFDDEBF7"/>
        <bgColor rgb="FFD9E1F2"/>
      </patternFill>
    </fill>
    <fill>
      <patternFill patternType="solid">
        <fgColor rgb="FFFFF2CC"/>
        <bgColor rgb="FFFCE4D6"/>
      </patternFill>
    </fill>
    <fill>
      <patternFill patternType="solid">
        <fgColor rgb="FFFCE4D6"/>
        <bgColor rgb="FFFFF2CC"/>
      </patternFill>
    </fill>
    <fill>
      <patternFill patternType="solid">
        <fgColor rgb="FFEDEDED"/>
        <bgColor rgb="FFE2EFDA"/>
      </patternFill>
    </fill>
  </fills>
  <borders count="3">
    <border diagonalUp="false" diagonalDown="false">
      <left/>
      <right/>
      <top/>
      <bottom/>
      <diagonal/>
    </border>
    <border diagonalUp="false" diagonalDown="false">
      <left/>
      <right/>
      <top style="thin">
        <color rgb="FF808080"/>
      </top>
      <bottom/>
      <diagonal/>
    </border>
    <border diagonalUp="false" diagonalDown="false">
      <left/>
      <right/>
      <top style="thin">
        <color rgb="FF808080"/>
      </top>
      <bottom style="double">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6" fontId="9"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9" fillId="5"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9" fillId="6" borderId="0" xfId="0" applyFont="true" applyBorder="false" applyAlignment="true" applyProtection="false">
      <alignment horizontal="general" vertical="top" textRotation="0" wrapText="true" indent="1" shrinkToFit="false"/>
      <protection locked="true" hidden="false"/>
    </xf>
    <xf numFmtId="164" fontId="6" fillId="7" borderId="2" xfId="0" applyFont="true" applyBorder="true" applyAlignment="false" applyProtection="false">
      <alignment horizontal="general" vertical="bottom" textRotation="0" wrapText="false" indent="0" shrinkToFit="false"/>
      <protection locked="true" hidden="false"/>
    </xf>
    <xf numFmtId="166" fontId="6" fillId="7" borderId="2" xfId="0" applyFont="true" applyBorder="true" applyAlignment="fals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top" textRotation="0" wrapText="true" indent="1" shrinkToFit="false"/>
      <protection locked="true" hidden="false"/>
    </xf>
    <xf numFmtId="164" fontId="9" fillId="9"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EDEDED"/>
      <rgbColor rgb="FF808080"/>
      <rgbColor rgb="FF9999FF"/>
      <rgbColor rgb="FF993366"/>
      <rgbColor rgb="FFFFF2CC"/>
      <rgbColor rgb="FFDDEBF7"/>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s.click.aliexpress.com/e/_oFETcUp" TargetMode="External"/><Relationship Id="rId2" Type="http://schemas.openxmlformats.org/officeDocument/2006/relationships/hyperlink" Target="https://s.click.aliexpress.com/e/_ok5Vs9o" TargetMode="External"/><Relationship Id="rId3" Type="http://schemas.openxmlformats.org/officeDocument/2006/relationships/hyperlink" Target="https://s.click.aliexpress.com/e/_c4TmFtB1" TargetMode="External"/><Relationship Id="rId4" Type="http://schemas.openxmlformats.org/officeDocument/2006/relationships/hyperlink" Target="https://s.click.aliexpress.com/e/_c4PmNVjP" TargetMode="External"/><Relationship Id="rId5" Type="http://schemas.openxmlformats.org/officeDocument/2006/relationships/hyperlink" Target="https://s.click.aliexpress.com/e/_c4EYnqTF" TargetMode="External"/><Relationship Id="rId6" Type="http://schemas.openxmlformats.org/officeDocument/2006/relationships/hyperlink" Target="https://s.click.aliexpress.com/e/_oD4czbg" TargetMode="External"/><Relationship Id="rId7" Type="http://schemas.openxmlformats.org/officeDocument/2006/relationships/hyperlink" Target="https://s.click.aliexpress.com/e/_oCRn586" TargetMode="External"/><Relationship Id="rId8" Type="http://schemas.openxmlformats.org/officeDocument/2006/relationships/hyperlink" Target="https://s.click.aliexpress.com/e/_oot69yi" TargetMode="External"/><Relationship Id="rId9" Type="http://schemas.openxmlformats.org/officeDocument/2006/relationships/hyperlink" Target="https://s.click.aliexpress.com/e/_c3QMepGj" TargetMode="External"/><Relationship Id="rId10" Type="http://schemas.openxmlformats.org/officeDocument/2006/relationships/hyperlink" Target="https://s.click.aliexpress.com/e/_c4b6DgPd" TargetMode="External"/><Relationship Id="rId11" Type="http://schemas.openxmlformats.org/officeDocument/2006/relationships/hyperlink" Target="https://s.click.aliexpress.com/e/_c42xcgIL" TargetMode="External"/><Relationship Id="rId12" Type="http://schemas.openxmlformats.org/officeDocument/2006/relationships/hyperlink" Target="https://s.click.aliexpress.com/e/_c3AAn9P1" TargetMode="External"/><Relationship Id="rId13" Type="http://schemas.openxmlformats.org/officeDocument/2006/relationships/hyperlink" Target="https://s.click.aliexpress.com/e/_c4CPm5kp" TargetMode="External"/><Relationship Id="rId14" Type="http://schemas.openxmlformats.org/officeDocument/2006/relationships/hyperlink" Target="https://www.aliexpress.com/w/wholesale-M5-flat-washer.html" TargetMode="External"/><Relationship Id="rId15" Type="http://schemas.openxmlformats.org/officeDocument/2006/relationships/hyperlink" Target="https://s.click.aliexpress.com/e/_c4F4mPuh" TargetMode="External"/><Relationship Id="rId16" Type="http://schemas.openxmlformats.org/officeDocument/2006/relationships/hyperlink" Target="https://s.click.aliexpress.com/e/_c4F4mPuh" TargetMode="External"/><Relationship Id="rId17" Type="http://schemas.openxmlformats.org/officeDocument/2006/relationships/hyperlink" Target="https://s.click.aliexpress.com/e/_c4F4mPuh" TargetMode="External"/><Relationship Id="rId18" Type="http://schemas.openxmlformats.org/officeDocument/2006/relationships/hyperlink" Target="https://s.click.aliexpress.com/e/_c4F4mPuh" TargetMode="External"/><Relationship Id="rId19" Type="http://schemas.openxmlformats.org/officeDocument/2006/relationships/hyperlink" Target="https://s.click.aliexpress.com/e/_c4TpvOcH" TargetMode="External"/><Relationship Id="rId20" Type="http://schemas.openxmlformats.org/officeDocument/2006/relationships/hyperlink" Target="https://s.click.aliexpress.com/e/_c4TpvOcH" TargetMode="External"/><Relationship Id="rId21" Type="http://schemas.openxmlformats.org/officeDocument/2006/relationships/hyperlink" Target="https://s.click.aliexpress.com/e/_c4CPm5kp" TargetMode="External"/><Relationship Id="rId22" Type="http://schemas.openxmlformats.org/officeDocument/2006/relationships/hyperlink" Target="https://s.click.aliexpress.com/e/_c3c2tuQh" TargetMode="External"/><Relationship Id="rId23" Type="http://schemas.openxmlformats.org/officeDocument/2006/relationships/hyperlink" Target="https://s.click.aliexpress.com/e/_c3c2tuQh" TargetMode="External"/><Relationship Id="rId24" Type="http://schemas.openxmlformats.org/officeDocument/2006/relationships/hyperlink" Target="https://www.bunnings.com.au/search/products?q=3mm%20nails" TargetMode="External"/><Relationship Id="rId25" Type="http://schemas.openxmlformats.org/officeDocument/2006/relationships/hyperlink" Target="https://www.aliexpress.com/w/wholesale-2.2k-resistor.html" TargetMode="External"/><Relationship Id="rId26" Type="http://schemas.openxmlformats.org/officeDocument/2006/relationships/hyperlink" Target="https://s.click.aliexpress.com/e/_c3KIxmBd" TargetMode="External"/><Relationship Id="rId27" Type="http://schemas.openxmlformats.org/officeDocument/2006/relationships/hyperlink" Target="https://s.click.aliexpress.com/e/_olVdACO" TargetMode="External"/><Relationship Id="rId28" Type="http://schemas.openxmlformats.org/officeDocument/2006/relationships/hyperlink" Target="https://s.click.aliexpress.com/e/_onsXtvg" TargetMode="External"/><Relationship Id="rId29" Type="http://schemas.openxmlformats.org/officeDocument/2006/relationships/hyperlink" Target="https://s.click.aliexpress.com/e/_c3UFiyA7" TargetMode="External"/><Relationship Id="rId30" Type="http://schemas.openxmlformats.org/officeDocument/2006/relationships/hyperlink" Target="https://s.click.aliexpress.com/e/_okGq0CQ"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3"/>
    <col collapsed="false" customWidth="true" hidden="false" outlineLevel="0" max="3" min="3" style="0" width="6"/>
    <col collapsed="false" customWidth="true" hidden="false" outlineLevel="0" max="5" min="4" style="0" width="11"/>
    <col collapsed="false" customWidth="true" hidden="false" outlineLevel="0" max="6" min="6" style="0" width="24"/>
    <col collapsed="false" customWidth="true" hidden="false" outlineLevel="0" max="7" min="7" style="0" width="20"/>
    <col collapsed="false" customWidth="true" hidden="false" outlineLevel="0" max="8" min="8" style="0" width="31"/>
    <col collapsed="false" customWidth="true" hidden="false" outlineLevel="0" max="9" min="9" style="0" width="62"/>
    <col collapsed="false" customWidth="true" hidden="false" outlineLevel="0" max="10" min="10" style="0" width="46"/>
  </cols>
  <sheetData>
    <row r="1" customFormat="false" ht="21.75" hidden="false" customHeight="true" outlineLevel="0" collapsed="false">
      <c r="A1" s="1" t="s">
        <v>0</v>
      </c>
    </row>
    <row r="2" customFormat="false" ht="15" hidden="false" customHeight="false" outlineLevel="0" collapsed="false">
      <c r="A2" s="2" t="s">
        <v>1</v>
      </c>
    </row>
    <row r="3" customFormat="false" ht="18" hidden="false" customHeight="true" outlineLevel="0" collapsed="false">
      <c r="A3" s="3" t="s">
        <v>2</v>
      </c>
      <c r="B3" s="4" t="n">
        <v>200</v>
      </c>
      <c r="D3" s="5" t="s">
        <v>3</v>
      </c>
      <c r="E3" s="6" t="n">
        <f aca="false">E41</f>
        <v>189</v>
      </c>
      <c r="F3" s="3" t="str">
        <f aca="false">IF(E3&lt;=B3,"UNDER BUDGET – $"&amp;TEXT(B3-E3,"0.00")&amp;" spare","OVER BUDGET by $"&amp;TEXT(E3-B3,"0.00"))</f>
        <v>UNDER BUDGET – $11.00 spare</v>
      </c>
    </row>
    <row r="5" customFormat="false" ht="19.5" hidden="false" customHeight="true" outlineLevel="0" collapsed="false">
      <c r="A5" s="7" t="s">
        <v>4</v>
      </c>
      <c r="B5" s="7" t="s">
        <v>5</v>
      </c>
      <c r="C5" s="7" t="s">
        <v>6</v>
      </c>
      <c r="D5" s="7" t="s">
        <v>7</v>
      </c>
      <c r="E5" s="7" t="s">
        <v>8</v>
      </c>
      <c r="F5" s="7" t="s">
        <v>9</v>
      </c>
      <c r="G5" s="7" t="s">
        <v>10</v>
      </c>
      <c r="H5" s="7" t="s">
        <v>11</v>
      </c>
      <c r="I5" s="7" t="s">
        <v>12</v>
      </c>
      <c r="J5" s="7" t="s">
        <v>13</v>
      </c>
    </row>
    <row r="6" customFormat="false" ht="15" hidden="false" customHeight="false" outlineLevel="0" collapsed="false">
      <c r="A6" s="8" t="s">
        <v>14</v>
      </c>
      <c r="B6" s="8"/>
      <c r="C6" s="8"/>
      <c r="D6" s="8"/>
      <c r="E6" s="8"/>
      <c r="F6" s="8"/>
      <c r="G6" s="8"/>
      <c r="H6" s="8"/>
      <c r="I6" s="8"/>
      <c r="J6" s="8"/>
    </row>
    <row r="7" customFormat="false" ht="66.75" hidden="false" customHeight="true" outlineLevel="0" collapsed="false">
      <c r="A7" s="9" t="s">
        <v>15</v>
      </c>
      <c r="B7" s="9" t="s">
        <v>16</v>
      </c>
      <c r="C7" s="10" t="n">
        <v>1</v>
      </c>
      <c r="D7" s="11" t="n">
        <v>50</v>
      </c>
      <c r="E7" s="12" t="n">
        <f aca="false">C7*D7</f>
        <v>50</v>
      </c>
      <c r="F7" s="13" t="s">
        <v>17</v>
      </c>
      <c r="G7" s="9" t="s">
        <v>18</v>
      </c>
      <c r="H7" s="14" t="s">
        <v>19</v>
      </c>
      <c r="I7" s="9" t="s">
        <v>20</v>
      </c>
      <c r="J7" s="9" t="s">
        <v>21</v>
      </c>
    </row>
    <row r="8" customFormat="false" ht="28.5" hidden="false" customHeight="true" outlineLevel="0" collapsed="false">
      <c r="A8" s="9" t="s">
        <v>22</v>
      </c>
      <c r="B8" s="9" t="s">
        <v>16</v>
      </c>
      <c r="C8" s="10" t="n">
        <v>1</v>
      </c>
      <c r="D8" s="11" t="n">
        <v>0</v>
      </c>
      <c r="E8" s="12" t="n">
        <f aca="false">C8*D8</f>
        <v>0</v>
      </c>
      <c r="F8" s="15" t="s">
        <v>23</v>
      </c>
      <c r="G8" s="9" t="s">
        <v>24</v>
      </c>
      <c r="H8" s="16"/>
      <c r="I8" s="9" t="s">
        <v>25</v>
      </c>
      <c r="J8" s="9" t="s">
        <v>26</v>
      </c>
    </row>
    <row r="9" customFormat="false" ht="41.25" hidden="false" customHeight="true" outlineLevel="0" collapsed="false">
      <c r="A9" s="9" t="s">
        <v>27</v>
      </c>
      <c r="B9" s="9" t="s">
        <v>16</v>
      </c>
      <c r="C9" s="10" t="n">
        <v>1</v>
      </c>
      <c r="D9" s="11" t="n">
        <v>20</v>
      </c>
      <c r="E9" s="12" t="n">
        <f aca="false">C9*D9</f>
        <v>20</v>
      </c>
      <c r="F9" s="13" t="s">
        <v>28</v>
      </c>
      <c r="G9" s="9" t="s">
        <v>18</v>
      </c>
      <c r="H9" s="14" t="s">
        <v>19</v>
      </c>
      <c r="I9" s="9" t="s">
        <v>29</v>
      </c>
      <c r="J9" s="9" t="s">
        <v>30</v>
      </c>
    </row>
    <row r="10" customFormat="false" ht="28.5" hidden="false" customHeight="true" outlineLevel="0" collapsed="false">
      <c r="A10" s="9" t="s">
        <v>31</v>
      </c>
      <c r="B10" s="9" t="s">
        <v>16</v>
      </c>
      <c r="C10" s="10" t="n">
        <v>1</v>
      </c>
      <c r="D10" s="11" t="n">
        <v>38</v>
      </c>
      <c r="E10" s="12" t="n">
        <f aca="false">C10*D10</f>
        <v>38</v>
      </c>
      <c r="F10" s="13" t="s">
        <v>32</v>
      </c>
      <c r="G10" s="9" t="s">
        <v>18</v>
      </c>
      <c r="H10" s="14" t="s">
        <v>19</v>
      </c>
      <c r="I10" s="9" t="s">
        <v>33</v>
      </c>
      <c r="J10" s="9" t="s">
        <v>34</v>
      </c>
    </row>
    <row r="11" customFormat="false" ht="15.75" hidden="false" customHeight="true" outlineLevel="0" collapsed="false">
      <c r="A11" s="9" t="s">
        <v>35</v>
      </c>
      <c r="B11" s="9" t="s">
        <v>16</v>
      </c>
      <c r="C11" s="10" t="n">
        <v>1</v>
      </c>
      <c r="D11" s="11" t="n">
        <v>2</v>
      </c>
      <c r="E11" s="12" t="n">
        <f aca="false">C11*D11</f>
        <v>2</v>
      </c>
      <c r="F11" s="13" t="s">
        <v>36</v>
      </c>
      <c r="G11" s="9" t="s">
        <v>18</v>
      </c>
      <c r="H11" s="14" t="s">
        <v>19</v>
      </c>
      <c r="I11" s="9" t="s">
        <v>37</v>
      </c>
      <c r="J11" s="9" t="s">
        <v>38</v>
      </c>
    </row>
    <row r="12" customFormat="false" ht="15.75" hidden="false" customHeight="true" outlineLevel="0" collapsed="false">
      <c r="A12" s="9" t="s">
        <v>39</v>
      </c>
      <c r="B12" s="9" t="s">
        <v>16</v>
      </c>
      <c r="C12" s="10" t="n">
        <v>1</v>
      </c>
      <c r="D12" s="11" t="n">
        <v>2.5</v>
      </c>
      <c r="E12" s="12" t="n">
        <f aca="false">C12*D12</f>
        <v>2.5</v>
      </c>
      <c r="F12" s="13" t="s">
        <v>36</v>
      </c>
      <c r="G12" s="9" t="s">
        <v>18</v>
      </c>
      <c r="H12" s="14" t="s">
        <v>19</v>
      </c>
      <c r="I12" s="9" t="s">
        <v>40</v>
      </c>
      <c r="J12" s="9" t="s">
        <v>41</v>
      </c>
    </row>
    <row r="13" customFormat="false" ht="15.75" hidden="false" customHeight="true" outlineLevel="0" collapsed="false">
      <c r="A13" s="9" t="s">
        <v>42</v>
      </c>
      <c r="B13" s="9" t="s">
        <v>16</v>
      </c>
      <c r="C13" s="10" t="n">
        <v>1</v>
      </c>
      <c r="D13" s="11" t="n">
        <v>3.5</v>
      </c>
      <c r="E13" s="12" t="n">
        <f aca="false">C13*D13</f>
        <v>3.5</v>
      </c>
      <c r="F13" s="13" t="s">
        <v>36</v>
      </c>
      <c r="G13" s="9" t="s">
        <v>18</v>
      </c>
      <c r="H13" s="14" t="s">
        <v>19</v>
      </c>
      <c r="I13" s="9" t="s">
        <v>43</v>
      </c>
      <c r="J13" s="9" t="s">
        <v>44</v>
      </c>
    </row>
    <row r="14" customFormat="false" ht="66.75" hidden="false" customHeight="true" outlineLevel="0" collapsed="false">
      <c r="A14" s="9" t="s">
        <v>45</v>
      </c>
      <c r="B14" s="9" t="s">
        <v>16</v>
      </c>
      <c r="C14" s="10" t="n">
        <v>1</v>
      </c>
      <c r="D14" s="11" t="n">
        <v>20</v>
      </c>
      <c r="E14" s="12" t="n">
        <f aca="false">C14*D14</f>
        <v>20</v>
      </c>
      <c r="F14" s="13" t="s">
        <v>46</v>
      </c>
      <c r="G14" s="9" t="s">
        <v>18</v>
      </c>
      <c r="H14" s="14" t="s">
        <v>19</v>
      </c>
      <c r="I14" s="9" t="s">
        <v>47</v>
      </c>
      <c r="J14" s="9" t="s">
        <v>48</v>
      </c>
    </row>
    <row r="15" customFormat="false" ht="28.5" hidden="false" customHeight="true" outlineLevel="0" collapsed="false">
      <c r="A15" s="9" t="s">
        <v>49</v>
      </c>
      <c r="B15" s="9" t="s">
        <v>50</v>
      </c>
      <c r="C15" s="10" t="n">
        <v>1</v>
      </c>
      <c r="D15" s="11" t="n">
        <v>2.5</v>
      </c>
      <c r="E15" s="12" t="n">
        <f aca="false">C15*D15</f>
        <v>2.5</v>
      </c>
      <c r="F15" s="13" t="s">
        <v>51</v>
      </c>
      <c r="G15" s="9" t="s">
        <v>18</v>
      </c>
      <c r="H15" s="14" t="s">
        <v>19</v>
      </c>
      <c r="I15" s="9" t="s">
        <v>52</v>
      </c>
      <c r="J15" s="9" t="s">
        <v>53</v>
      </c>
    </row>
    <row r="16" customFormat="false" ht="28.5" hidden="false" customHeight="true" outlineLevel="0" collapsed="false">
      <c r="A16" s="9" t="s">
        <v>54</v>
      </c>
      <c r="B16" s="9" t="s">
        <v>16</v>
      </c>
      <c r="C16" s="10" t="n">
        <v>1</v>
      </c>
      <c r="D16" s="11" t="n">
        <v>6</v>
      </c>
      <c r="E16" s="12" t="n">
        <f aca="false">C16*D16</f>
        <v>6</v>
      </c>
      <c r="F16" s="13" t="s">
        <v>36</v>
      </c>
      <c r="G16" s="9" t="s">
        <v>18</v>
      </c>
      <c r="H16" s="14" t="s">
        <v>19</v>
      </c>
      <c r="I16" s="9" t="s">
        <v>55</v>
      </c>
      <c r="J16" s="9" t="s">
        <v>56</v>
      </c>
    </row>
    <row r="17" customFormat="false" ht="15.75" hidden="false" customHeight="true" outlineLevel="0" collapsed="false">
      <c r="A17" s="9" t="s">
        <v>57</v>
      </c>
      <c r="B17" s="9" t="s">
        <v>58</v>
      </c>
      <c r="C17" s="10" t="n">
        <v>1</v>
      </c>
      <c r="D17" s="11" t="n">
        <v>4.5</v>
      </c>
      <c r="E17" s="12" t="n">
        <f aca="false">C17*D17</f>
        <v>4.5</v>
      </c>
      <c r="F17" s="13" t="s">
        <v>59</v>
      </c>
      <c r="G17" s="9" t="s">
        <v>18</v>
      </c>
      <c r="H17" s="14" t="s">
        <v>19</v>
      </c>
      <c r="I17" s="9" t="s">
        <v>60</v>
      </c>
      <c r="J17" s="9" t="s">
        <v>61</v>
      </c>
    </row>
    <row r="18" customFormat="false" ht="66.75" hidden="false" customHeight="true" outlineLevel="0" collapsed="false">
      <c r="A18" s="9" t="s">
        <v>62</v>
      </c>
      <c r="B18" s="9" t="s">
        <v>16</v>
      </c>
      <c r="C18" s="10" t="n">
        <v>1</v>
      </c>
      <c r="D18" s="11" t="n">
        <v>16</v>
      </c>
      <c r="E18" s="12" t="n">
        <f aca="false">C18*D18</f>
        <v>16</v>
      </c>
      <c r="F18" s="13" t="s">
        <v>63</v>
      </c>
      <c r="G18" s="9" t="s">
        <v>18</v>
      </c>
      <c r="H18" s="14" t="s">
        <v>19</v>
      </c>
      <c r="I18" s="9" t="s">
        <v>64</v>
      </c>
      <c r="J18" s="9" t="s">
        <v>65</v>
      </c>
    </row>
    <row r="19" customFormat="false" ht="15.75" hidden="false" customHeight="true" outlineLevel="0" collapsed="false">
      <c r="A19" s="9" t="s">
        <v>66</v>
      </c>
      <c r="B19" s="9" t="s">
        <v>16</v>
      </c>
      <c r="C19" s="10" t="n">
        <v>1</v>
      </c>
      <c r="D19" s="11" t="n">
        <v>7</v>
      </c>
      <c r="E19" s="12" t="n">
        <f aca="false">C19*D19</f>
        <v>7</v>
      </c>
      <c r="F19" s="13" t="s">
        <v>36</v>
      </c>
      <c r="G19" s="9" t="s">
        <v>18</v>
      </c>
      <c r="H19" s="14" t="s">
        <v>19</v>
      </c>
      <c r="I19" s="9" t="s">
        <v>67</v>
      </c>
      <c r="J19" s="9" t="s">
        <v>68</v>
      </c>
    </row>
    <row r="20" customFormat="false" ht="15" hidden="false" customHeight="false" outlineLevel="0" collapsed="false">
      <c r="A20" s="17" t="s">
        <v>69</v>
      </c>
      <c r="B20" s="18"/>
      <c r="C20" s="18"/>
      <c r="D20" s="18"/>
      <c r="E20" s="19" t="n">
        <f aca="false">SUM(E7:E19)</f>
        <v>172</v>
      </c>
      <c r="F20" s="18"/>
      <c r="G20" s="18"/>
      <c r="H20" s="18"/>
      <c r="I20" s="18"/>
      <c r="J20" s="18"/>
    </row>
    <row r="22" customFormat="false" ht="15" hidden="false" customHeight="false" outlineLevel="0" collapsed="false">
      <c r="A22" s="8" t="s">
        <v>70</v>
      </c>
      <c r="B22" s="8"/>
      <c r="C22" s="8"/>
      <c r="D22" s="8"/>
      <c r="E22" s="8"/>
      <c r="F22" s="8"/>
      <c r="G22" s="8"/>
      <c r="H22" s="8"/>
      <c r="I22" s="8"/>
      <c r="J22" s="8"/>
    </row>
    <row r="23" customFormat="false" ht="41.25" hidden="false" customHeight="true" outlineLevel="0" collapsed="false">
      <c r="A23" s="9" t="s">
        <v>71</v>
      </c>
      <c r="B23" s="9" t="s">
        <v>72</v>
      </c>
      <c r="C23" s="10" t="n">
        <v>1</v>
      </c>
      <c r="D23" s="11" t="n">
        <v>1</v>
      </c>
      <c r="E23" s="12" t="n">
        <f aca="false">C23*D23</f>
        <v>1</v>
      </c>
      <c r="F23" s="13" t="s">
        <v>51</v>
      </c>
      <c r="G23" s="9" t="s">
        <v>18</v>
      </c>
      <c r="H23" s="14" t="s">
        <v>19</v>
      </c>
      <c r="I23" s="9" t="s">
        <v>73</v>
      </c>
      <c r="J23" s="9" t="s">
        <v>74</v>
      </c>
    </row>
    <row r="24" customFormat="false" ht="15.75" hidden="false" customHeight="true" outlineLevel="0" collapsed="false">
      <c r="A24" s="9" t="s">
        <v>75</v>
      </c>
      <c r="B24" s="9" t="s">
        <v>76</v>
      </c>
      <c r="C24" s="10" t="n">
        <v>1</v>
      </c>
      <c r="D24" s="11" t="n">
        <v>1</v>
      </c>
      <c r="E24" s="12" t="n">
        <f aca="false">C24*D24</f>
        <v>1</v>
      </c>
      <c r="F24" s="13" t="s">
        <v>51</v>
      </c>
      <c r="G24" s="9" t="s">
        <v>18</v>
      </c>
      <c r="H24" s="14" t="s">
        <v>77</v>
      </c>
      <c r="I24" s="9"/>
      <c r="J24" s="9" t="s">
        <v>74</v>
      </c>
    </row>
    <row r="25" customFormat="false" ht="15.75" hidden="false" customHeight="true" outlineLevel="0" collapsed="false">
      <c r="A25" s="9" t="s">
        <v>78</v>
      </c>
      <c r="B25" s="9" t="s">
        <v>16</v>
      </c>
      <c r="C25" s="10" t="n">
        <v>1</v>
      </c>
      <c r="D25" s="11" t="n">
        <v>1.5</v>
      </c>
      <c r="E25" s="12" t="n">
        <f aca="false">C25*D25</f>
        <v>1.5</v>
      </c>
      <c r="F25" s="13" t="s">
        <v>51</v>
      </c>
      <c r="G25" s="9" t="s">
        <v>18</v>
      </c>
      <c r="H25" s="14" t="s">
        <v>19</v>
      </c>
      <c r="I25" s="9"/>
      <c r="J25" s="9" t="s">
        <v>74</v>
      </c>
    </row>
    <row r="26" customFormat="false" ht="15.75" hidden="false" customHeight="true" outlineLevel="0" collapsed="false">
      <c r="A26" s="9" t="s">
        <v>79</v>
      </c>
      <c r="B26" s="9" t="s">
        <v>76</v>
      </c>
      <c r="C26" s="10" t="n">
        <v>1</v>
      </c>
      <c r="D26" s="11" t="n">
        <v>1.5</v>
      </c>
      <c r="E26" s="12" t="n">
        <f aca="false">C26*D26</f>
        <v>1.5</v>
      </c>
      <c r="F26" s="13" t="s">
        <v>51</v>
      </c>
      <c r="G26" s="9" t="s">
        <v>18</v>
      </c>
      <c r="H26" s="14" t="s">
        <v>19</v>
      </c>
      <c r="I26" s="9"/>
      <c r="J26" s="9" t="s">
        <v>74</v>
      </c>
    </row>
    <row r="27" customFormat="false" ht="15.75" hidden="false" customHeight="true" outlineLevel="0" collapsed="false">
      <c r="A27" s="9" t="s">
        <v>80</v>
      </c>
      <c r="B27" s="9" t="s">
        <v>76</v>
      </c>
      <c r="C27" s="10" t="n">
        <v>1</v>
      </c>
      <c r="D27" s="11" t="n">
        <v>1.5</v>
      </c>
      <c r="E27" s="12" t="n">
        <f aca="false">C27*D27</f>
        <v>1.5</v>
      </c>
      <c r="F27" s="13" t="s">
        <v>51</v>
      </c>
      <c r="G27" s="9" t="s">
        <v>18</v>
      </c>
      <c r="H27" s="14" t="s">
        <v>19</v>
      </c>
      <c r="I27" s="9"/>
      <c r="J27" s="9" t="s">
        <v>74</v>
      </c>
    </row>
    <row r="28" customFormat="false" ht="15.75" hidden="false" customHeight="true" outlineLevel="0" collapsed="false">
      <c r="A28" s="9" t="s">
        <v>81</v>
      </c>
      <c r="B28" s="9" t="s">
        <v>82</v>
      </c>
      <c r="C28" s="10" t="n">
        <v>1</v>
      </c>
      <c r="D28" s="11" t="n">
        <v>1</v>
      </c>
      <c r="E28" s="12" t="n">
        <f aca="false">C28*D28</f>
        <v>1</v>
      </c>
      <c r="F28" s="13" t="s">
        <v>51</v>
      </c>
      <c r="G28" s="9" t="s">
        <v>18</v>
      </c>
      <c r="H28" s="14" t="s">
        <v>19</v>
      </c>
      <c r="I28" s="9"/>
      <c r="J28" s="9" t="s">
        <v>74</v>
      </c>
    </row>
    <row r="29" customFormat="false" ht="15.75" hidden="false" customHeight="true" outlineLevel="0" collapsed="false">
      <c r="A29" s="9" t="s">
        <v>83</v>
      </c>
      <c r="B29" s="9" t="s">
        <v>84</v>
      </c>
      <c r="C29" s="10" t="n">
        <v>1</v>
      </c>
      <c r="D29" s="11" t="n">
        <v>1</v>
      </c>
      <c r="E29" s="12" t="n">
        <f aca="false">C29*D29</f>
        <v>1</v>
      </c>
      <c r="F29" s="13" t="s">
        <v>51</v>
      </c>
      <c r="G29" s="9" t="s">
        <v>18</v>
      </c>
      <c r="H29" s="14" t="s">
        <v>19</v>
      </c>
      <c r="I29" s="9"/>
      <c r="J29" s="9" t="s">
        <v>74</v>
      </c>
    </row>
    <row r="30" customFormat="false" ht="15.75" hidden="false" customHeight="true" outlineLevel="0" collapsed="false">
      <c r="A30" s="9" t="s">
        <v>85</v>
      </c>
      <c r="B30" s="9" t="s">
        <v>86</v>
      </c>
      <c r="C30" s="10" t="n">
        <v>1</v>
      </c>
      <c r="D30" s="11" t="n">
        <v>1</v>
      </c>
      <c r="E30" s="12" t="n">
        <f aca="false">C30*D30</f>
        <v>1</v>
      </c>
      <c r="F30" s="13" t="s">
        <v>51</v>
      </c>
      <c r="G30" s="9" t="s">
        <v>18</v>
      </c>
      <c r="H30" s="14" t="s">
        <v>19</v>
      </c>
      <c r="I30" s="9"/>
      <c r="J30" s="9" t="s">
        <v>74</v>
      </c>
    </row>
    <row r="31" customFormat="false" ht="15.75" hidden="false" customHeight="true" outlineLevel="0" collapsed="false">
      <c r="A31" s="9" t="s">
        <v>87</v>
      </c>
      <c r="B31" s="9" t="s">
        <v>82</v>
      </c>
      <c r="C31" s="10" t="n">
        <v>1</v>
      </c>
      <c r="D31" s="11" t="n">
        <v>1</v>
      </c>
      <c r="E31" s="12" t="n">
        <f aca="false">C31*D31</f>
        <v>1</v>
      </c>
      <c r="F31" s="13" t="s">
        <v>51</v>
      </c>
      <c r="G31" s="9" t="s">
        <v>18</v>
      </c>
      <c r="H31" s="14" t="s">
        <v>19</v>
      </c>
      <c r="I31" s="9"/>
      <c r="J31" s="9" t="s">
        <v>74</v>
      </c>
    </row>
    <row r="32" customFormat="false" ht="15.75" hidden="false" customHeight="true" outlineLevel="0" collapsed="false">
      <c r="A32" s="9" t="s">
        <v>88</v>
      </c>
      <c r="B32" s="9" t="s">
        <v>76</v>
      </c>
      <c r="C32" s="10" t="n">
        <v>1</v>
      </c>
      <c r="D32" s="11" t="n">
        <v>1.5</v>
      </c>
      <c r="E32" s="12" t="n">
        <f aca="false">C32*D32</f>
        <v>1.5</v>
      </c>
      <c r="F32" s="13" t="s">
        <v>51</v>
      </c>
      <c r="G32" s="9" t="s">
        <v>18</v>
      </c>
      <c r="H32" s="14" t="s">
        <v>19</v>
      </c>
      <c r="I32" s="9"/>
      <c r="J32" s="9" t="s">
        <v>74</v>
      </c>
    </row>
    <row r="33" customFormat="false" ht="15.75" hidden="false" customHeight="true" outlineLevel="0" collapsed="false">
      <c r="A33" s="9" t="s">
        <v>89</v>
      </c>
      <c r="B33" s="9" t="s">
        <v>16</v>
      </c>
      <c r="C33" s="10" t="n">
        <v>1</v>
      </c>
      <c r="D33" s="11" t="n">
        <v>1.5</v>
      </c>
      <c r="E33" s="12" t="n">
        <f aca="false">C33*D33</f>
        <v>1.5</v>
      </c>
      <c r="F33" s="13" t="s">
        <v>51</v>
      </c>
      <c r="G33" s="9" t="s">
        <v>18</v>
      </c>
      <c r="H33" s="14" t="s">
        <v>19</v>
      </c>
      <c r="I33" s="9"/>
      <c r="J33" s="9" t="s">
        <v>74</v>
      </c>
    </row>
    <row r="34" customFormat="false" ht="15.75" hidden="false" customHeight="true" outlineLevel="0" collapsed="false">
      <c r="A34" s="9" t="s">
        <v>90</v>
      </c>
      <c r="B34" s="9" t="s">
        <v>91</v>
      </c>
      <c r="C34" s="10" t="n">
        <v>1</v>
      </c>
      <c r="D34" s="11" t="n">
        <v>2.5</v>
      </c>
      <c r="E34" s="12" t="n">
        <f aca="false">C34*D34</f>
        <v>2.5</v>
      </c>
      <c r="F34" s="13" t="s">
        <v>51</v>
      </c>
      <c r="G34" s="9" t="s">
        <v>92</v>
      </c>
      <c r="H34" s="14" t="s">
        <v>93</v>
      </c>
      <c r="I34" s="9" t="s">
        <v>94</v>
      </c>
      <c r="J34" s="9" t="s">
        <v>95</v>
      </c>
    </row>
    <row r="35" customFormat="false" ht="15" hidden="false" customHeight="false" outlineLevel="0" collapsed="false">
      <c r="A35" s="17" t="s">
        <v>96</v>
      </c>
      <c r="B35" s="18"/>
      <c r="C35" s="18"/>
      <c r="D35" s="18"/>
      <c r="E35" s="19" t="n">
        <f aca="false">SUM(E23:E34)</f>
        <v>16</v>
      </c>
      <c r="F35" s="18"/>
      <c r="G35" s="18"/>
      <c r="H35" s="18"/>
      <c r="I35" s="18"/>
      <c r="J35" s="18"/>
    </row>
    <row r="37" customFormat="false" ht="15" hidden="false" customHeight="false" outlineLevel="0" collapsed="false">
      <c r="A37" s="8" t="s">
        <v>97</v>
      </c>
      <c r="B37" s="8"/>
      <c r="C37" s="8"/>
      <c r="D37" s="8"/>
      <c r="E37" s="8"/>
      <c r="F37" s="8"/>
      <c r="G37" s="8"/>
      <c r="H37" s="8"/>
      <c r="I37" s="8"/>
      <c r="J37" s="8"/>
    </row>
    <row r="38" customFormat="false" ht="41.25" hidden="false" customHeight="true" outlineLevel="0" collapsed="false">
      <c r="A38" s="9" t="s">
        <v>98</v>
      </c>
      <c r="B38" s="9" t="s">
        <v>82</v>
      </c>
      <c r="C38" s="10" t="n">
        <v>1</v>
      </c>
      <c r="D38" s="11" t="n">
        <v>1</v>
      </c>
      <c r="E38" s="12" t="n">
        <f aca="false">C38*D38</f>
        <v>1</v>
      </c>
      <c r="F38" s="20" t="s">
        <v>99</v>
      </c>
      <c r="G38" s="9" t="s">
        <v>100</v>
      </c>
      <c r="H38" s="14" t="s">
        <v>101</v>
      </c>
      <c r="I38" s="9" t="s">
        <v>102</v>
      </c>
      <c r="J38" s="9" t="s">
        <v>103</v>
      </c>
    </row>
    <row r="39" customFormat="false" ht="15" hidden="false" customHeight="false" outlineLevel="0" collapsed="false">
      <c r="A39" s="17" t="s">
        <v>104</v>
      </c>
      <c r="B39" s="18"/>
      <c r="C39" s="18"/>
      <c r="D39" s="18"/>
      <c r="E39" s="19" t="n">
        <f aca="false">SUM(E38:E38)</f>
        <v>1</v>
      </c>
      <c r="F39" s="18"/>
      <c r="G39" s="18"/>
      <c r="H39" s="18"/>
      <c r="I39" s="18"/>
      <c r="J39" s="18"/>
    </row>
    <row r="41" customFormat="false" ht="18" hidden="false" customHeight="true" outlineLevel="0" collapsed="false">
      <c r="A41" s="21" t="s">
        <v>105</v>
      </c>
      <c r="B41" s="21"/>
      <c r="C41" s="21"/>
      <c r="D41" s="21"/>
      <c r="E41" s="22" t="n">
        <f aca="false">E20+E35+E39</f>
        <v>189</v>
      </c>
      <c r="F41" s="21"/>
      <c r="G41" s="21"/>
      <c r="H41" s="21"/>
      <c r="I41" s="21"/>
      <c r="J41" s="21"/>
    </row>
    <row r="43" customFormat="false" ht="15" hidden="false" customHeight="false" outlineLevel="0" collapsed="false">
      <c r="A43" s="8" t="s">
        <v>106</v>
      </c>
      <c r="B43" s="8"/>
      <c r="C43" s="8"/>
      <c r="D43" s="8"/>
      <c r="E43" s="8"/>
      <c r="F43" s="8"/>
      <c r="G43" s="8"/>
      <c r="H43" s="8"/>
      <c r="I43" s="8"/>
      <c r="J43" s="8"/>
    </row>
    <row r="44" customFormat="false" ht="41.25" hidden="false" customHeight="true" outlineLevel="0" collapsed="false">
      <c r="A44" s="9" t="s">
        <v>107</v>
      </c>
      <c r="B44" s="9" t="s">
        <v>16</v>
      </c>
      <c r="C44" s="10" t="n">
        <v>1</v>
      </c>
      <c r="D44" s="11" t="n">
        <v>15</v>
      </c>
      <c r="E44" s="12" t="n">
        <f aca="false">C44*D44</f>
        <v>15</v>
      </c>
      <c r="F44" s="23" t="s">
        <v>108</v>
      </c>
      <c r="G44" s="9" t="s">
        <v>18</v>
      </c>
      <c r="H44" s="14" t="s">
        <v>19</v>
      </c>
      <c r="I44" s="9" t="s">
        <v>109</v>
      </c>
      <c r="J44" s="9" t="s">
        <v>110</v>
      </c>
    </row>
    <row r="45" customFormat="false" ht="15.75" hidden="false" customHeight="true" outlineLevel="0" collapsed="false">
      <c r="A45" s="9" t="s">
        <v>111</v>
      </c>
      <c r="B45" s="9" t="s">
        <v>112</v>
      </c>
      <c r="C45" s="10" t="n">
        <v>2</v>
      </c>
      <c r="D45" s="11" t="n">
        <v>3</v>
      </c>
      <c r="E45" s="12" t="n">
        <f aca="false">C45*D45</f>
        <v>6</v>
      </c>
      <c r="F45" s="23" t="s">
        <v>108</v>
      </c>
      <c r="G45" s="9" t="s">
        <v>18</v>
      </c>
      <c r="H45" s="14" t="s">
        <v>19</v>
      </c>
      <c r="I45" s="9" t="s">
        <v>113</v>
      </c>
      <c r="J45" s="9" t="s">
        <v>114</v>
      </c>
    </row>
    <row r="46" customFormat="false" ht="15.75" hidden="false" customHeight="true" outlineLevel="0" collapsed="false">
      <c r="A46" s="9" t="s">
        <v>115</v>
      </c>
      <c r="B46" s="9" t="s">
        <v>116</v>
      </c>
      <c r="C46" s="10" t="n">
        <v>1</v>
      </c>
      <c r="D46" s="11" t="n">
        <v>5</v>
      </c>
      <c r="E46" s="12" t="n">
        <f aca="false">C46*D46</f>
        <v>5</v>
      </c>
      <c r="F46" s="23" t="s">
        <v>108</v>
      </c>
      <c r="G46" s="9" t="s">
        <v>18</v>
      </c>
      <c r="H46" s="14" t="s">
        <v>19</v>
      </c>
      <c r="I46" s="9" t="s">
        <v>113</v>
      </c>
      <c r="J46" s="9" t="s">
        <v>117</v>
      </c>
    </row>
    <row r="47" customFormat="false" ht="28.5" hidden="false" customHeight="true" outlineLevel="0" collapsed="false">
      <c r="A47" s="9" t="s">
        <v>118</v>
      </c>
      <c r="B47" s="9" t="s">
        <v>16</v>
      </c>
      <c r="C47" s="10" t="n">
        <v>1</v>
      </c>
      <c r="D47" s="11" t="n">
        <v>1.5</v>
      </c>
      <c r="E47" s="12" t="n">
        <f aca="false">C47*D47</f>
        <v>1.5</v>
      </c>
      <c r="F47" s="23" t="s">
        <v>108</v>
      </c>
      <c r="G47" s="9" t="s">
        <v>18</v>
      </c>
      <c r="H47" s="14" t="s">
        <v>19</v>
      </c>
      <c r="I47" s="9" t="s">
        <v>119</v>
      </c>
      <c r="J47" s="9" t="s">
        <v>120</v>
      </c>
    </row>
    <row r="48" customFormat="false" ht="41.25" hidden="false" customHeight="true" outlineLevel="0" collapsed="false">
      <c r="A48" s="9" t="s">
        <v>121</v>
      </c>
      <c r="B48" s="9" t="s">
        <v>76</v>
      </c>
      <c r="C48" s="10" t="n">
        <v>1</v>
      </c>
      <c r="D48" s="11" t="n">
        <v>5.5</v>
      </c>
      <c r="E48" s="12" t="n">
        <f aca="false">C48*D48</f>
        <v>5.5</v>
      </c>
      <c r="F48" s="23" t="s">
        <v>108</v>
      </c>
      <c r="G48" s="9" t="s">
        <v>18</v>
      </c>
      <c r="H48" s="14" t="s">
        <v>19</v>
      </c>
      <c r="I48" s="9" t="s">
        <v>122</v>
      </c>
      <c r="J48" s="9" t="s">
        <v>123</v>
      </c>
    </row>
    <row r="49" customFormat="false" ht="28.5" hidden="false" customHeight="true" outlineLevel="0" collapsed="false">
      <c r="A49" s="9" t="s">
        <v>124</v>
      </c>
      <c r="B49" s="9" t="s">
        <v>76</v>
      </c>
      <c r="C49" s="10" t="n">
        <v>1</v>
      </c>
      <c r="D49" s="11" t="n">
        <v>2</v>
      </c>
      <c r="E49" s="12" t="n">
        <f aca="false">C49*D49</f>
        <v>2</v>
      </c>
      <c r="F49" s="23" t="s">
        <v>125</v>
      </c>
      <c r="G49" s="9" t="s">
        <v>126</v>
      </c>
      <c r="H49" s="16"/>
      <c r="I49" s="9" t="s">
        <v>127</v>
      </c>
      <c r="J49" s="9" t="s">
        <v>128</v>
      </c>
    </row>
    <row r="50" customFormat="false" ht="15" hidden="false" customHeight="false" outlineLevel="0" collapsed="false">
      <c r="A50" s="17" t="s">
        <v>129</v>
      </c>
      <c r="B50" s="18"/>
      <c r="C50" s="18"/>
      <c r="D50" s="18"/>
      <c r="E50" s="19" t="n">
        <f aca="false">SUM(E44:E49)</f>
        <v>35</v>
      </c>
      <c r="F50" s="18"/>
      <c r="G50" s="18"/>
      <c r="H50" s="18"/>
      <c r="I50" s="18"/>
      <c r="J50" s="18"/>
    </row>
    <row r="51" customFormat="false" ht="15" hidden="false" customHeight="false" outlineLevel="0" collapsed="false">
      <c r="A51" s="3" t="s">
        <v>130</v>
      </c>
      <c r="E51" s="6" t="n">
        <f aca="false">E41+E50</f>
        <v>224</v>
      </c>
    </row>
    <row r="53" customFormat="false" ht="15" hidden="false" customHeight="false" outlineLevel="0" collapsed="false">
      <c r="A53" s="8" t="s">
        <v>131</v>
      </c>
      <c r="B53" s="8"/>
      <c r="C53" s="8"/>
      <c r="D53" s="8"/>
      <c r="E53" s="8"/>
      <c r="F53" s="8"/>
      <c r="G53" s="8"/>
      <c r="H53" s="8"/>
      <c r="I53" s="8"/>
      <c r="J53" s="8"/>
    </row>
    <row r="54" customFormat="false" ht="15.75" hidden="false" customHeight="true" outlineLevel="0" collapsed="false">
      <c r="A54" s="9" t="s">
        <v>132</v>
      </c>
      <c r="B54" s="9" t="s">
        <v>133</v>
      </c>
      <c r="C54" s="10" t="n">
        <v>1</v>
      </c>
      <c r="D54" s="11" t="n">
        <v>22</v>
      </c>
      <c r="E54" s="12" t="n">
        <f aca="false">C54*D54</f>
        <v>22</v>
      </c>
      <c r="F54" s="24" t="s">
        <v>134</v>
      </c>
      <c r="G54" s="9" t="s">
        <v>135</v>
      </c>
      <c r="H54" s="16"/>
      <c r="I54" s="9" t="s">
        <v>136</v>
      </c>
      <c r="J54" s="9" t="s">
        <v>137</v>
      </c>
    </row>
    <row r="55" customFormat="false" ht="15.75" hidden="false" customHeight="true" outlineLevel="0" collapsed="false">
      <c r="A55" s="9" t="s">
        <v>138</v>
      </c>
      <c r="B55" s="9" t="s">
        <v>139</v>
      </c>
      <c r="C55" s="10" t="n">
        <v>1</v>
      </c>
      <c r="D55" s="11" t="n">
        <v>5</v>
      </c>
      <c r="E55" s="12" t="n">
        <f aca="false">C55*D55</f>
        <v>5</v>
      </c>
      <c r="F55" s="24" t="s">
        <v>134</v>
      </c>
      <c r="G55" s="9" t="s">
        <v>140</v>
      </c>
      <c r="H55" s="16"/>
      <c r="I55" s="9" t="s">
        <v>141</v>
      </c>
      <c r="J55" s="9" t="s">
        <v>142</v>
      </c>
    </row>
    <row r="56" customFormat="false" ht="15.75" hidden="false" customHeight="true" outlineLevel="0" collapsed="false">
      <c r="A56" s="9" t="s">
        <v>143</v>
      </c>
      <c r="B56" s="9" t="s">
        <v>16</v>
      </c>
      <c r="C56" s="10" t="n">
        <v>1</v>
      </c>
      <c r="D56" s="11" t="n">
        <v>3</v>
      </c>
      <c r="E56" s="12" t="n">
        <f aca="false">C56*D56</f>
        <v>3</v>
      </c>
      <c r="F56" s="24" t="s">
        <v>134</v>
      </c>
      <c r="G56" s="9" t="s">
        <v>144</v>
      </c>
      <c r="H56" s="16"/>
      <c r="I56" s="9" t="s">
        <v>145</v>
      </c>
      <c r="J56" s="9" t="s">
        <v>146</v>
      </c>
    </row>
    <row r="57" customFormat="false" ht="15" hidden="false" customHeight="false" outlineLevel="0" collapsed="false">
      <c r="A57" s="17" t="s">
        <v>147</v>
      </c>
      <c r="B57" s="18"/>
      <c r="C57" s="18"/>
      <c r="D57" s="18"/>
      <c r="E57" s="19" t="n">
        <f aca="false">SUM(E54:E56)</f>
        <v>30</v>
      </c>
      <c r="F57" s="18"/>
      <c r="G57" s="18"/>
      <c r="H57" s="18"/>
      <c r="I57" s="18"/>
      <c r="J57" s="18"/>
    </row>
    <row r="58" customFormat="false" ht="15" hidden="false" customHeight="false" outlineLevel="0" collapsed="false">
      <c r="A58" s="3" t="s">
        <v>148</v>
      </c>
      <c r="E58" s="6" t="n">
        <f aca="false">E41+E57</f>
        <v>219</v>
      </c>
    </row>
    <row r="60" customFormat="false" ht="15" hidden="false" customHeight="false" outlineLevel="0" collapsed="false">
      <c r="A60" s="8" t="s">
        <v>149</v>
      </c>
      <c r="B60" s="8"/>
      <c r="C60" s="8"/>
      <c r="D60" s="8"/>
      <c r="E60" s="8"/>
      <c r="F60" s="8"/>
      <c r="G60" s="8"/>
      <c r="H60" s="8"/>
      <c r="I60" s="8"/>
      <c r="J60" s="8"/>
    </row>
    <row r="61" customFormat="false" ht="15" hidden="false" customHeight="true" outlineLevel="0" collapsed="false">
      <c r="A61" s="25" t="s">
        <v>150</v>
      </c>
      <c r="B61" s="25"/>
      <c r="C61" s="25"/>
      <c r="D61" s="25"/>
      <c r="E61" s="25"/>
      <c r="F61" s="25"/>
      <c r="G61" s="25"/>
      <c r="H61" s="25"/>
      <c r="I61" s="25"/>
      <c r="J61" s="25"/>
    </row>
    <row r="62" customFormat="false" ht="15" hidden="false" customHeight="true" outlineLevel="0" collapsed="false">
      <c r="A62" s="25" t="s">
        <v>151</v>
      </c>
      <c r="B62" s="25"/>
      <c r="C62" s="25"/>
      <c r="D62" s="25"/>
      <c r="E62" s="25"/>
      <c r="F62" s="25"/>
      <c r="G62" s="25"/>
      <c r="H62" s="25"/>
      <c r="I62" s="25"/>
      <c r="J62" s="25"/>
    </row>
    <row r="63" customFormat="false" ht="15" hidden="false" customHeight="true" outlineLevel="0" collapsed="false">
      <c r="A63" s="25" t="s">
        <v>152</v>
      </c>
      <c r="B63" s="25"/>
      <c r="C63" s="25"/>
      <c r="D63" s="25"/>
      <c r="E63" s="25"/>
      <c r="F63" s="25"/>
      <c r="G63" s="25"/>
      <c r="H63" s="25"/>
      <c r="I63" s="25"/>
      <c r="J63" s="25"/>
    </row>
    <row r="64" customFormat="false" ht="15" hidden="false" customHeight="true" outlineLevel="0" collapsed="false">
      <c r="A64" s="25" t="s">
        <v>153</v>
      </c>
      <c r="B64" s="25"/>
      <c r="C64" s="25"/>
      <c r="D64" s="25"/>
      <c r="E64" s="25"/>
      <c r="F64" s="25"/>
      <c r="G64" s="25"/>
      <c r="H64" s="25"/>
      <c r="I64" s="25"/>
      <c r="J64" s="25"/>
    </row>
    <row r="65" customFormat="false" ht="15" hidden="false" customHeight="true" outlineLevel="0" collapsed="false">
      <c r="A65" s="25" t="s">
        <v>154</v>
      </c>
      <c r="B65" s="25"/>
      <c r="C65" s="25"/>
      <c r="D65" s="25"/>
      <c r="E65" s="25"/>
      <c r="F65" s="25"/>
      <c r="G65" s="25"/>
      <c r="H65" s="25"/>
      <c r="I65" s="25"/>
      <c r="J65" s="25"/>
    </row>
    <row r="67" customFormat="false" ht="15" hidden="false" customHeight="false" outlineLevel="0" collapsed="false">
      <c r="A67" s="8" t="s">
        <v>155</v>
      </c>
      <c r="B67" s="8"/>
      <c r="C67" s="8"/>
      <c r="D67" s="8"/>
      <c r="E67" s="8"/>
      <c r="F67" s="8"/>
      <c r="G67" s="8"/>
      <c r="H67" s="8"/>
      <c r="I67" s="8"/>
      <c r="J67" s="8"/>
    </row>
    <row r="68" customFormat="false" ht="15" hidden="false" customHeight="true" outlineLevel="0" collapsed="false">
      <c r="A68" s="26" t="s">
        <v>156</v>
      </c>
      <c r="B68" s="26"/>
      <c r="C68" s="26"/>
      <c r="D68" s="26"/>
      <c r="E68" s="26"/>
      <c r="F68" s="26"/>
      <c r="G68" s="26"/>
      <c r="H68" s="26"/>
      <c r="I68" s="26"/>
      <c r="J68" s="26"/>
    </row>
    <row r="69" customFormat="false" ht="15" hidden="false" customHeight="true" outlineLevel="0" collapsed="false">
      <c r="A69" s="26" t="s">
        <v>157</v>
      </c>
      <c r="B69" s="26"/>
      <c r="C69" s="26"/>
      <c r="D69" s="26"/>
      <c r="E69" s="26"/>
      <c r="F69" s="26"/>
      <c r="G69" s="26"/>
      <c r="H69" s="26"/>
      <c r="I69" s="26"/>
      <c r="J69" s="26"/>
    </row>
    <row r="70" customFormat="false" ht="15" hidden="false" customHeight="true" outlineLevel="0" collapsed="false">
      <c r="A70" s="26" t="s">
        <v>158</v>
      </c>
      <c r="B70" s="26"/>
      <c r="C70" s="26"/>
      <c r="D70" s="26"/>
      <c r="E70" s="26"/>
      <c r="F70" s="26"/>
      <c r="G70" s="26"/>
      <c r="H70" s="26"/>
      <c r="I70" s="26"/>
      <c r="J70" s="26"/>
    </row>
    <row r="71" customFormat="false" ht="15" hidden="false" customHeight="true" outlineLevel="0" collapsed="false">
      <c r="A71" s="26" t="s">
        <v>159</v>
      </c>
      <c r="B71" s="26"/>
      <c r="C71" s="26"/>
      <c r="D71" s="26"/>
      <c r="E71" s="26"/>
      <c r="F71" s="26"/>
      <c r="G71" s="26"/>
      <c r="H71" s="26"/>
      <c r="I71" s="26"/>
      <c r="J71" s="26"/>
    </row>
    <row r="72" customFormat="false" ht="15" hidden="false" customHeight="true" outlineLevel="0" collapsed="false">
      <c r="A72" s="26" t="s">
        <v>160</v>
      </c>
      <c r="B72" s="26"/>
      <c r="C72" s="26"/>
      <c r="D72" s="26"/>
      <c r="E72" s="26"/>
      <c r="F72" s="26"/>
      <c r="G72" s="26"/>
      <c r="H72" s="26"/>
      <c r="I72" s="26"/>
      <c r="J72" s="26"/>
    </row>
    <row r="73" customFormat="false" ht="15" hidden="false" customHeight="true" outlineLevel="0" collapsed="false">
      <c r="A73" s="26" t="s">
        <v>161</v>
      </c>
      <c r="B73" s="26"/>
      <c r="C73" s="26"/>
      <c r="D73" s="26"/>
      <c r="E73" s="26"/>
      <c r="F73" s="26"/>
      <c r="G73" s="26"/>
      <c r="H73" s="26"/>
      <c r="I73" s="26"/>
      <c r="J73" s="26"/>
    </row>
  </sheetData>
  <mergeCells count="11">
    <mergeCell ref="A61:J61"/>
    <mergeCell ref="A62:J62"/>
    <mergeCell ref="A63:J63"/>
    <mergeCell ref="A64:J64"/>
    <mergeCell ref="A65:J65"/>
    <mergeCell ref="A68:J68"/>
    <mergeCell ref="A69:J69"/>
    <mergeCell ref="A70:J70"/>
    <mergeCell ref="A71:J71"/>
    <mergeCell ref="A72:J72"/>
    <mergeCell ref="A73:J73"/>
  </mergeCells>
  <conditionalFormatting sqref="F3">
    <cfRule type="expression" priority="2" aboveAverage="0" equalAverage="0" bottom="0" percent="0" rank="0" text="" dxfId="0">
      <formula>$E$3&lt;=$B$3</formula>
    </cfRule>
    <cfRule type="expression" priority="3" aboveAverage="0" equalAverage="0" bottom="0" percent="0" rank="0" text="" dxfId="1">
      <formula>$E$3&gt;$B$3</formula>
    </cfRule>
  </conditionalFormatting>
  <hyperlinks>
    <hyperlink ref="H7" r:id="rId1" display="AliExpress – DAZ's link"/>
    <hyperlink ref="H9" r:id="rId2" display="AliExpress – DAZ's link"/>
    <hyperlink ref="H10" r:id="rId3" display="AliExpress – DAZ's link"/>
    <hyperlink ref="H11" r:id="rId4" display="AliExpress – DAZ's link"/>
    <hyperlink ref="H12" r:id="rId5" display="AliExpress – DAZ's link"/>
    <hyperlink ref="H13" r:id="rId6" display="AliExpress – DAZ's link"/>
    <hyperlink ref="H14" r:id="rId7" display="AliExpress – DAZ's link"/>
    <hyperlink ref="H15" r:id="rId8" display="AliExpress – DAZ's link"/>
    <hyperlink ref="H16" r:id="rId9" display="AliExpress – DAZ's link"/>
    <hyperlink ref="H17" r:id="rId10" display="AliExpress – DAZ's link"/>
    <hyperlink ref="H18" r:id="rId11" display="AliExpress – DAZ's link"/>
    <hyperlink ref="H19" r:id="rId12" display="AliExpress – DAZ's link"/>
    <hyperlink ref="H23" r:id="rId13" display="AliExpress – DAZ's link"/>
    <hyperlink ref="H24" r:id="rId14" display="AliExpress search: M5 washer"/>
    <hyperlink ref="H25" r:id="rId15" display="AliExpress – DAZ's link"/>
    <hyperlink ref="H26" r:id="rId16" display="AliExpress – DAZ's link"/>
    <hyperlink ref="H27" r:id="rId17" display="AliExpress – DAZ's link"/>
    <hyperlink ref="H28" r:id="rId18" display="AliExpress – DAZ's link"/>
    <hyperlink ref="H29" r:id="rId19" display="AliExpress – DAZ's link"/>
    <hyperlink ref="H30" r:id="rId20" display="AliExpress – DAZ's link"/>
    <hyperlink ref="H31" r:id="rId21" display="AliExpress – DAZ's link"/>
    <hyperlink ref="H32" r:id="rId22" display="AliExpress – DAZ's link"/>
    <hyperlink ref="H33" r:id="rId23" display="AliExpress – DAZ's link"/>
    <hyperlink ref="H34" r:id="rId24" display="Bunnings search: 3 mm nails"/>
    <hyperlink ref="H38" r:id="rId25" display="AliExpress search: 2.2k resistor"/>
    <hyperlink ref="H44" r:id="rId26" display="AliExpress – DAZ's link"/>
    <hyperlink ref="H45" r:id="rId27" display="AliExpress – DAZ's link"/>
    <hyperlink ref="H46" r:id="rId28" display="AliExpress – DAZ's link"/>
    <hyperlink ref="H47" r:id="rId29" display="AliExpress – DAZ's link"/>
    <hyperlink ref="H48" r:id="rId30" display="AliExpress – DAZ's link"/>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2026-10-02T07:03:34Z</dcterms:created>
  <dc:creator>openpyxl</dc:creator>
  <dc:description/>
  <dc:language>en-US</dc:language>
  <cp:lastModifiedBy/>
  <dcterms:modified xsi:type="dcterms:W3CDTF">2026-10-02T07:03:34Z</dcterms:modified>
  <cp:revision>0</cp:revision>
  <dc:subject>Budget parts list in AUD</dc:subject>
  <dc:title>DAZ Racing V2 Steering Wheel – budget parts list (AUD)</dc:title>
</cp:coreProperties>
</file>

<file path=docProps/custom.xml><?xml version="1.0" encoding="utf-8"?>
<Properties xmlns="http://schemas.openxmlformats.org/officeDocument/2006/custom-properties" xmlns:vt="http://schemas.openxmlformats.org/officeDocument/2006/docPropsVTypes"/>
</file>