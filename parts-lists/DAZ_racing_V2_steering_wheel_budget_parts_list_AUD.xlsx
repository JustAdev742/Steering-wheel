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 list" sheetId="1" state="visible" r:id="rId3"/>
  </sheets>
  <definedNames>
    <definedName function="false" hidden="false" localSheetId="0" name="_xlnm.Print_Titles" vbProcedure="false">'Parts list'!$5:$5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<sst xmlns="http://schemas.openxmlformats.org/spreadsheetml/2006/main" count="328" uniqueCount="196">
  <si>
    <t xml:space="preserve">DAZ Racing V2 Steering Wheel – budget parts list (AUD)</t>
  </si>
  <si>
    <t xml:space="preserve">Prices are estimates in AUD incl. 10% GST, checked 3 Oct 2026. AliExpress prices change daily – edit the blue cells and everything re-totals. Every part has a main link and a backup link in case a listing sells out.</t>
  </si>
  <si>
    <t xml:space="preserve">Budget (AUD) – edit the yellow cell</t>
  </si>
  <si>
    <t xml:space="preserve">Total</t>
  </si>
  <si>
    <t xml:space="preserve">Component</t>
  </si>
  <si>
    <t xml:space="preserve">Need</t>
  </si>
  <si>
    <t xml:space="preserve">Buy</t>
  </si>
  <si>
    <t xml:space="preserve">Each (AUD)</t>
  </si>
  <si>
    <t xml:space="preserve">Total (AUD)</t>
  </si>
  <si>
    <t xml:space="preserve">Change vs DAZ's list</t>
  </si>
  <si>
    <t xml:space="preserve">Where to buy</t>
  </si>
  <si>
    <t xml:space="preserve">Main link</t>
  </si>
  <si>
    <t xml:space="preserve">Backup link</t>
  </si>
  <si>
    <t xml:space="preserve">Listing check</t>
  </si>
  <si>
    <t xml:space="preserve">Notes</t>
  </si>
  <si>
    <t xml:space="preserve">Price basis</t>
  </si>
  <si>
    <t xml:space="preserve">1. PARTS TO BUY</t>
  </si>
  <si>
    <t xml:space="preserve">MKS XDrive Mini motor controller (ODrive 3.6 based)</t>
  </si>
  <si>
    <t xml:space="preserve">1</t>
  </si>
  <si>
    <t xml:space="preserve">Kept – DAZ's exact part</t>
  </si>
  <si>
    <t xml:space="preserve">AliExpress</t>
  </si>
  <si>
    <t xml:space="preserve">AliExpress – DAZ's link</t>
  </si>
  <si>
    <t xml:space="preserve">AliExpress search: MKS XDrive Mini</t>
  </si>
  <si>
    <t xml:space="preserve">Live (3 Oct 2026)</t>
  </si>
  <si>
    <t xml:space="preserve">The one part with no cheap substitute. Runs FFBeast's free 'light' mode – the paid licence only adds extras DAZ's design doesn't use. Check the listing includes the brake resistor. Cheapest time to buy: AliExpress's 11.11 sale (11 Nov) or with new-user coupons.</t>
  </si>
  <si>
    <t xml:space="preserve">DAZ's link: €29.92 sale (May 2025) ≈ AUD 44 incl. GST. 2026 US-store listings US$37–43 ≈ AUD 59–68 incl. GST (US prices now include import tariffs). Estimate AUD 50 – check the live price.</t>
  </si>
  <si>
    <t xml:space="preserve">6.5" hoverboard motor</t>
  </si>
  <si>
    <t xml:space="preserve">Already have – $0</t>
  </si>
  <si>
    <t xml:space="preserve">You already own it</t>
  </si>
  <si>
    <t xml:space="preserve">Check it's a 6.5" (165 mm) motor that spins freely without grinding – DAZ's mount is sized for 6.5".</t>
  </si>
  <si>
    <t xml:space="preserve">You own it.</t>
  </si>
  <si>
    <t xml:space="preserve">Rotary encoder E6B2-CWZ6C, 1000–2000 P/R (6 mm shaft, NPN)</t>
  </si>
  <si>
    <t xml:space="preserve">AliExpress search: E6B2-CWZ6C</t>
  </si>
  <si>
    <t xml:space="preserve">DAZ's encoder mount is made for this body, and high resolution gives smooth force feedback, so it stays. 1000 P/R is plenty if it's cheaper (FFBeast asks for ≥1000 counts per turn). NPN output – needs the pull-up resistors below.</t>
  </si>
  <si>
    <t xml:space="preserve">DAZ's link: US$13.53 (May 2025) ≈ AUD 21.50 incl. GST; 2026 listings from US$14.27.</t>
  </si>
  <si>
    <t xml:space="preserve">Steering wheel rim, 13" / 330 mm flat, aluminium + PVC</t>
  </si>
  <si>
    <t xml:space="preserve">Kept – DAZ's exact part (PVC version)</t>
  </si>
  <si>
    <t xml:space="preserve">AliExpress search: 13" flat wheel</t>
  </si>
  <si>
    <t xml:space="preserve">DAZ: "get this, I can't guarantee this build works with a different one". Pick the PVC option – it's the cheapest. If his listing ever disappears, choose a 13-inch flat-dish wheel with the 6 × 70 mm bolt pattern.</t>
  </si>
  <si>
    <t xml:space="preserve">2026 AliExpress: 13" PVC flat wheels US$20–27 ≈ AUD 32–43 incl. GST (suede US$47–55). Estimate AUD 38.</t>
  </si>
  <si>
    <t xml:space="preserve">GT2 timing pulley, 20T, 6 mm bore, 6 mm belt</t>
  </si>
  <si>
    <t xml:space="preserve">Cheaper – any seller, same size</t>
  </si>
  <si>
    <t xml:space="preserve">AliExpress search: GT2 20T 6 mm bore</t>
  </si>
  <si>
    <t xml:space="preserve">Search – in-stock sellers</t>
  </si>
  <si>
    <t xml:space="preserve">Standard part – any seller with these sizes. Goes on the encoder shaft.</t>
  </si>
  <si>
    <t xml:space="preserve">2026 search: GT2 20T pulleys from US$0.79 (bore varies) – about US$1 for 6 mm.</t>
  </si>
  <si>
    <t xml:space="preserve">GT2 closed-loop belt, 212 mm, 6 mm wide</t>
  </si>
  <si>
    <t xml:space="preserve">AliExpress search: GT2 belt 212 mm</t>
  </si>
  <si>
    <t xml:space="preserve">Must be a closed loop, 212 mm long, 6 mm wide.</t>
  </si>
  <si>
    <t xml:space="preserve">2026 search: 6 mm GT2 loops from US$3.04 (US store).</t>
  </si>
  <si>
    <t xml:space="preserve">GT2 idler, 20T toothed, 5 mm bore, 6 mm wide</t>
  </si>
  <si>
    <t xml:space="preserve">AliExpress search: GT2 idler 20T 5 mm</t>
  </si>
  <si>
    <t xml:space="preserve">Keeps the encoder belt tight.</t>
  </si>
  <si>
    <t xml:space="preserve">DAZ's link: US$2.24 (May 2025) ≈ AUD 3.55 incl. GST.</t>
  </si>
  <si>
    <t xml:space="preserve">Power supply, 24 V 10 A (240 W), AU plug</t>
  </si>
  <si>
    <t xml:space="preserve">AliExpress search: 24V 10A power supply</t>
  </si>
  <si>
    <t xml:space="preserve">The full 240 W gives the full force. Pick an enclosed 'adapter' type with an AU plug, so there's no 240 V wiring to do. Any brand works.</t>
  </si>
  <si>
    <t xml:space="preserve">DAZ's link: US$11.15 (May 2025) ≈ AUD 18 incl. GST. 2026 search: 24 V 10 A adapters with AU plug ≈ US$19 (US store) ≈ AUD 30 incl. GST. Estimate AUD 25.</t>
  </si>
  <si>
    <t xml:space="preserve">XT60 connector pair (male + female)</t>
  </si>
  <si>
    <t xml:space="preserve">1 pair</t>
  </si>
  <si>
    <t xml:space="preserve">Cheaper – any seller, same size (smallest pack)</t>
  </si>
  <si>
    <t xml:space="preserve">AliExpress search: XT60 pair</t>
  </si>
  <si>
    <t xml:space="preserve">Power plug between the PSU and the controller – one pair is enough. Need it today? Jaycar PT4458 is ≈ $5 a pair.</t>
  </si>
  <si>
    <t xml:space="preserve">Small AliExpress packs ≈ US$1–2; 5 pairs ≈ US$4.96.</t>
  </si>
  <si>
    <t xml:space="preserve">Motor axle clamp, 16 × 16 mm cross clamp</t>
  </si>
  <si>
    <t xml:space="preserve">AliExpress search: 16 mm cross clamp</t>
  </si>
  <si>
    <t xml:space="preserve">Part of DAZ's V2 mount – his printed parts are designed around it.</t>
  </si>
  <si>
    <t xml:space="preserve">Typical listing US$3–5.</t>
  </si>
  <si>
    <t xml:space="preserve">Aluminium tube, 16 mm OD (cut to 100 mm)</t>
  </si>
  <si>
    <t xml:space="preserve">100 mm</t>
  </si>
  <si>
    <t xml:space="preserve">Kept – DAZ's exact part (shortest length)</t>
  </si>
  <si>
    <t xml:space="preserve">Bunnings: Metal Mate 16 mm × 1 m tube (local)</t>
  </si>
  <si>
    <t xml:space="preserve">Pick 16 mm outside diameter and the shortest length (e.g. 250 mm); cut to 100 mm with a hacksaw. Bunnings sells a 1 m length for ≈ $6.50 if you want it today.</t>
  </si>
  <si>
    <t xml:space="preserve">Typical 250 mm length US$2–3.50; Bunnings 16 mm × 1 m ≈ AUD 6.47 (2026 search).</t>
  </si>
  <si>
    <t xml:space="preserve">Quick-release clamp, Arca-Swiss (DAZ's cheaper 'option 2')</t>
  </si>
  <si>
    <t xml:space="preserve">Kept – DAZ's exact part (cheaper option)</t>
  </si>
  <si>
    <t xml:space="preserve">AliExpress search: Arca-Swiss clamp</t>
  </si>
  <si>
    <t xml:space="preserve">How DAZ's V2 base attaches to the desk or your frame ("aluminum Quick-Release to detach from the desk"). His listing is titled as a plate – pick the clamp option; any Arca-Swiss clamp grips the plate below.</t>
  </si>
  <si>
    <t xml:space="preserve">2026 search: Arca-Swiss clamps from US$6.73 (sale) ≈ AUD 10.70 incl. GST. Estimate AUD 12.</t>
  </si>
  <si>
    <t xml:space="preserve">Quick-release plate, Arca-Swiss, 100 mm</t>
  </si>
  <si>
    <t xml:space="preserve">AliExpress search: Arca plate 100 mm</t>
  </si>
  <si>
    <t xml:space="preserve">Goes with the clamp above.</t>
  </si>
  <si>
    <t xml:space="preserve">2026 search: 100 mm Arca plates from US$3.98 ≈ AUD 6.30 incl. GST.</t>
  </si>
  <si>
    <t xml:space="preserve">Subtotal – parts</t>
  </si>
  <si>
    <t xml:space="preserve">2. NUTS &amp; BOLTS (DAZ's list)</t>
  </si>
  <si>
    <t xml:space="preserve">M5 nuts</t>
  </si>
  <si>
    <t xml:space="preserve">4</t>
  </si>
  <si>
    <t xml:space="preserve">Cheaper – any seller, same size (small pack)</t>
  </si>
  <si>
    <t xml:space="preserve">AliExpress search: M5 nut</t>
  </si>
  <si>
    <t xml:space="preserve">Pick the exact size and the smallest quantity. Plain steel is cheaper than stainless and fine indoors. Bunnings has most sizes today but costs 2–3× more.</t>
  </si>
  <si>
    <t xml:space="preserve">Small AliExpress pack ≈ AUD 1–2.50.</t>
  </si>
  <si>
    <t xml:space="preserve">M5 washers</t>
  </si>
  <si>
    <t xml:space="preserve">2</t>
  </si>
  <si>
    <t xml:space="preserve">AliExpress search: M5 washer</t>
  </si>
  <si>
    <t xml:space="preserve">M5 × 20 cap screw</t>
  </si>
  <si>
    <t xml:space="preserve">AliExpress search: M5x20 socket head</t>
  </si>
  <si>
    <t xml:space="preserve">M5 × 25 socket head screws</t>
  </si>
  <si>
    <t xml:space="preserve">AliExpress search: M5x25 socket head</t>
  </si>
  <si>
    <t xml:space="preserve">M5 × 40 socket head screws</t>
  </si>
  <si>
    <t xml:space="preserve">AliExpress search: M5x40 socket head</t>
  </si>
  <si>
    <t xml:space="preserve">M3 × 10 socket head screws</t>
  </si>
  <si>
    <t xml:space="preserve">3</t>
  </si>
  <si>
    <t xml:space="preserve">AliExpress search: M3x10 socket head</t>
  </si>
  <si>
    <t xml:space="preserve">M3 × 12 self-tapping screws</t>
  </si>
  <si>
    <t xml:space="preserve">8</t>
  </si>
  <si>
    <t xml:space="preserve">AliExpress search: M3x12 self-tapping</t>
  </si>
  <si>
    <t xml:space="preserve">M2.5 × 6 self-tapping screws</t>
  </si>
  <si>
    <t xml:space="preserve">6</t>
  </si>
  <si>
    <t xml:space="preserve">AliExpress search: M2.5x6 self-tapping</t>
  </si>
  <si>
    <t xml:space="preserve">M6 nuts</t>
  </si>
  <si>
    <t xml:space="preserve">AliExpress search: M6 nut</t>
  </si>
  <si>
    <t xml:space="preserve">M6 × 30 countersunk screws</t>
  </si>
  <si>
    <t xml:space="preserve">AliExpress search: M6x30 countersunk</t>
  </si>
  <si>
    <t xml:space="preserve">M6 × 45 countersunk screw</t>
  </si>
  <si>
    <t xml:space="preserve">AliExpress search: M6x45 countersunk</t>
  </si>
  <si>
    <t xml:space="preserve">3 mm nails</t>
  </si>
  <si>
    <t xml:space="preserve">9</t>
  </si>
  <si>
    <t xml:space="preserve">Kept – smallest pack</t>
  </si>
  <si>
    <t xml:space="preserve">Bunnings / hardware store</t>
  </si>
  <si>
    <t xml:space="preserve">Bunnings search: 3 mm nails</t>
  </si>
  <si>
    <t xml:space="preserve">Bunnings search</t>
  </si>
  <si>
    <t xml:space="preserve">Used as pins.</t>
  </si>
  <si>
    <t xml:space="preserve">Small pack at a hardware store ≈ AUD 2–3.</t>
  </si>
  <si>
    <t xml:space="preserve">Subtotal – nuts &amp; bolts</t>
  </si>
  <si>
    <t xml:space="preserve">3. ALSO NEEDED (not on DAZ's list)</t>
  </si>
  <si>
    <t xml:space="preserve">Encoder pull-up resistors, ≈1–4.7 kΩ (A, B, Z lines)</t>
  </si>
  <si>
    <t xml:space="preserve">New – not on DAZ's list</t>
  </si>
  <si>
    <t xml:space="preserve">AliExpress / Jaycar</t>
  </si>
  <si>
    <t xml:space="preserve">AliExpress search: 2.2k resistors</t>
  </si>
  <si>
    <t xml:space="preserve">AliExpress search: resistor kit</t>
  </si>
  <si>
    <t xml:space="preserve">FFBeast's encoder guide says NPN encoders like the E6B2 "REQUIRES PULL UP resistors on signal lines". Value and placement per DAZ's / FFBeast's wiring diagram.</t>
  </si>
  <si>
    <t xml:space="preserve">A 10–50 pack ≈ AUD 1.</t>
  </si>
  <si>
    <t xml:space="preserve">Subtotal – also needed</t>
  </si>
  <si>
    <t xml:space="preserve">TOTAL – counts toward the budget</t>
  </si>
  <si>
    <t xml:space="preserve">4. OPTIONAL UPGRADE – wheel buttons &amp; magnetic paddles (NOT counted)</t>
  </si>
  <si>
    <t xml:space="preserve">Wireless button board (2.4 GHz zero-delay arcade encoder)</t>
  </si>
  <si>
    <t xml:space="preserve">Optional upgrade</t>
  </si>
  <si>
    <t xml:space="preserve">AliExpress search: wireless zero-delay encoder</t>
  </si>
  <si>
    <t xml:space="preserve">Buttons and paddles on the wheel. The H-shifter (with its sequential mode) already covers gear changes, so this can wait.</t>
  </si>
  <si>
    <t xml:space="preserve">2026 search: 2.4 GHz wireless encoder boards from US$6.04 ≈ AUD 9.60 incl. GST.</t>
  </si>
  <si>
    <t xml:space="preserve">Push buttons, 16 mm momentary (6-pack)</t>
  </si>
  <si>
    <t xml:space="preserve">2 sets</t>
  </si>
  <si>
    <t xml:space="preserve">AliExpress search: 16 mm push button</t>
  </si>
  <si>
    <t xml:space="preserve">Part of the optional wheel-buttons upgrade.</t>
  </si>
  <si>
    <t xml:space="preserve">DAZ's link: US$1.91 per set (May 2025) ≈ AUD 3.</t>
  </si>
  <si>
    <t xml:space="preserve">Magnets 30 × 10 × 4 mm (magnetic paddles)</t>
  </si>
  <si>
    <t xml:space="preserve">per DAZ's guide</t>
  </si>
  <si>
    <t xml:space="preserve">AliExpress search: 30×10×4 magnets</t>
  </si>
  <si>
    <t xml:space="preserve">Small pack ≈ US$2.50–4.</t>
  </si>
  <si>
    <t xml:space="preserve">AA battery holder, 2 × AA</t>
  </si>
  <si>
    <t xml:space="preserve">AliExpress search: 2 × AA holder</t>
  </si>
  <si>
    <t xml:space="preserve">Powers the wireless board. Part of the optional wheel-buttons upgrade.</t>
  </si>
  <si>
    <t xml:space="preserve">Typical listing US$0.50–1.</t>
  </si>
  <si>
    <t xml:space="preserve">Paddle switches – 2 spares from the shifter's 10-pack</t>
  </si>
  <si>
    <t xml:space="preserve">Optional upgrade – $0 (shifter pack)</t>
  </si>
  <si>
    <t xml:space="preserve">Shifter's switch pack</t>
  </si>
  <si>
    <t xml:space="preserve">AliExpress search: KW11-3Z roller switch</t>
  </si>
  <si>
    <t xml:space="preserve">Link OK – page not auto-checked</t>
  </si>
  <si>
    <t xml:space="preserve">The shifter's 10-pack leaves 5 spare – check they match DAZ's paddle switch. If not, a 10-pack is ≈ $4–6. Part of the optional wheel-buttons upgrade.</t>
  </si>
  <si>
    <t xml:space="preserve">DAZ's link: US$3.57 per 10 (May 2025) ≈ AUD 5.70.</t>
  </si>
  <si>
    <t xml:space="preserve">2 × AA batteries</t>
  </si>
  <si>
    <t xml:space="preserve">Optional upgrade (not on DAZ's list)</t>
  </si>
  <si>
    <t xml:space="preserve">Supermarket / Kmart</t>
  </si>
  <si>
    <t xml:space="preserve">For the wireless board. Part of the optional wheel-buttons upgrade.</t>
  </si>
  <si>
    <t xml:space="preserve">Supermarket price.</t>
  </si>
  <si>
    <t xml:space="preserve">Upgrade subtotal (not counted)</t>
  </si>
  <si>
    <t xml:space="preserve">Total with the buttons upgrade</t>
  </si>
  <si>
    <t xml:space="preserve">5. NOT COUNTED – things you may already have</t>
  </si>
  <si>
    <t xml:space="preserve">Hook-up wire, solder, heat-shrink</t>
  </si>
  <si>
    <t xml:space="preserve">–</t>
  </si>
  <si>
    <t xml:space="preserve">Not counted</t>
  </si>
  <si>
    <t xml:space="preserve">Jaycar / AliExpress</t>
  </si>
  <si>
    <t xml:space="preserve">For wiring the electronics.</t>
  </si>
  <si>
    <t xml:space="preserve">Typical small-pack prices.</t>
  </si>
  <si>
    <t xml:space="preserve">PLA+ filament for the printed parts</t>
  </si>
  <si>
    <t xml:space="preserve">≈1 kg</t>
  </si>
  <si>
    <t xml:space="preserve">AliExpress / Amazon AU</t>
  </si>
  <si>
    <t xml:space="preserve">You're budgeting the printing separately. Budget PLA+ is about AUD 18–25 per kg on sale.</t>
  </si>
  <si>
    <t xml:space="preserve">Typical AU price for a budget 1 kg roll.</t>
  </si>
  <si>
    <t xml:space="preserve">USB data cable for the controller</t>
  </si>
  <si>
    <t xml:space="preserve">Kmart / AliExpress</t>
  </si>
  <si>
    <t xml:space="preserve">Connects the XDrive Mini to the PC.</t>
  </si>
  <si>
    <t xml:space="preserve">Typical price.</t>
  </si>
  <si>
    <t xml:space="preserve">If you need to buy these too</t>
  </si>
  <si>
    <t xml:space="preserve">All-in total including section 5</t>
  </si>
  <si>
    <t xml:space="preserve">TIPS</t>
  </si>
  <si>
    <t xml:space="preserve">• Order everything from AliExpress in one go during the 11.11 sale (11 November) – sale coupons usually take money off orders this size, and one big order clears the free-shipping threshold.</t>
  </si>
  <si>
    <t xml:space="preserve">• Skip the quick release and bolt the base straight to your frame: −$18 (check DAZ's guide for how the plate attaches).</t>
  </si>
  <si>
    <t xml:space="preserve">• Old laptop charger (19–20 V, ideally 120 W+) instead of the 24 V supply: −$25, at lower maximum force.</t>
  </si>
  <si>
    <t xml:space="preserve">ASSUMPTIONS &amp; SOURCES</t>
  </si>
  <si>
    <t xml:space="preserve">• Prices: estimates in AUD including 10% GST (AliExpress adds GST to Australian orders under AUD 1,000). Blue cells are inputs you can change; black cells are formulas.</t>
  </si>
  <si>
    <t xml:space="preserve">• Exchange rates: 1 USD = 1.4425 AUD, 1 EUR = 1.6249 AUD (ExchangeRate-API, open.er-api.com, 2 Oct 2026). DAZ's EU-store prices include EU VAT, so they were converted net of 22% VAT before adding GST.</t>
  </si>
  <si>
    <t xml:space="preserve">• Links: 'DAZ's link' = DAZ's own AliExpress (affiliate) listing – used where his printed parts need that exact part, and buying through it supports him. 'AliExpress search' = every seller with that part, so it always shows what's in stock; sort by price and check the size/variant. Choice-badge listings ship free over the threshold and arrive fastest.</t>
  </si>
  <si>
    <t xml:space="preserve">• Listing check (3 Oct 2026): all 76 of DAZ's links still lead to an AliExpress product, and every DAZ listing used as a main link was opened to confirm its product page is live. Rows marked 'not auto-checked' were blocked by AliExpress's bot check – the link itself works. Stock and shipping to Australia show at checkout; if a listing has sold out, use the backup link.</t>
  </si>
  <si>
    <t xml:space="preserve">• Price basis: DAZ's links carry the price from when he made them (mostly May 2025), quoted where available. '2026 search' figures are from AliExpress's US store on 3 Oct 2026; since 2025 US prices include import tariffs, so Australian prices are usually a little lower.</t>
  </si>
  <si>
    <t xml:space="preserve">• Based on DAZ Racing's V2 steering wheel parts list. Firmware: FFBeast (free 'light' mode).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</si>
</sst>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.00;&quot;-$&quot;#,##0.00;\-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4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EDEDED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.click.aliexpress.com/e/_oFETcUp" TargetMode="External"/><Relationship Id="rId2" Type="http://schemas.openxmlformats.org/officeDocument/2006/relationships/hyperlink" Target="https://www.aliexpress.com/w/wholesale-MKS-XDrive-Mini.html" TargetMode="External"/><Relationship Id="rId3" Type="http://schemas.openxmlformats.org/officeDocument/2006/relationships/hyperlink" Target="https://s.click.aliexpress.com/e/_ok5Vs9o" TargetMode="External"/><Relationship Id="rId4" Type="http://schemas.openxmlformats.org/officeDocument/2006/relationships/hyperlink" Target="https://www.aliexpress.com/w/wholesale-E6B2-CWZ6C-rotary-encoder.html" TargetMode="External"/><Relationship Id="rId5" Type="http://schemas.openxmlformats.org/officeDocument/2006/relationships/hyperlink" Target="https://s.click.aliexpress.com/e/_c3OYEWzh" TargetMode="External"/><Relationship Id="rId6" Type="http://schemas.openxmlformats.org/officeDocument/2006/relationships/hyperlink" Target="https://www.aliexpress.com/w/wholesale-13-inch-330mm-flat-steering-wheel.html" TargetMode="External"/><Relationship Id="rId7" Type="http://schemas.openxmlformats.org/officeDocument/2006/relationships/hyperlink" Target="https://www.aliexpress.com/w/wholesale-GT2-pulley-20T-6mm-bore.html" TargetMode="External"/><Relationship Id="rId8" Type="http://schemas.openxmlformats.org/officeDocument/2006/relationships/hyperlink" Target="https://s.click.aliexpress.com/e/_c4PmNVjP" TargetMode="External"/><Relationship Id="rId9" Type="http://schemas.openxmlformats.org/officeDocument/2006/relationships/hyperlink" Target="https://www.aliexpress.com/w/wholesale-GT2-closed-loop-belt-212mm-6mm.html" TargetMode="External"/><Relationship Id="rId10" Type="http://schemas.openxmlformats.org/officeDocument/2006/relationships/hyperlink" Target="https://s.click.aliexpress.com/e/_c4EYnqTF" TargetMode="External"/><Relationship Id="rId11" Type="http://schemas.openxmlformats.org/officeDocument/2006/relationships/hyperlink" Target="https://www.aliexpress.com/w/wholesale-GT2-idler-20T-5mm-bore.html" TargetMode="External"/><Relationship Id="rId12" Type="http://schemas.openxmlformats.org/officeDocument/2006/relationships/hyperlink" Target="https://s.click.aliexpress.com/e/_oD4czbg" TargetMode="External"/><Relationship Id="rId13" Type="http://schemas.openxmlformats.org/officeDocument/2006/relationships/hyperlink" Target="https://www.aliexpress.com/w/wholesale-24V-10A-power-supply-adapter.html" TargetMode="External"/><Relationship Id="rId14" Type="http://schemas.openxmlformats.org/officeDocument/2006/relationships/hyperlink" Target="https://s.click.aliexpress.com/e/_oCRn586" TargetMode="External"/><Relationship Id="rId15" Type="http://schemas.openxmlformats.org/officeDocument/2006/relationships/hyperlink" Target="https://www.aliexpress.com/w/wholesale-XT60-connector-male-female.html" TargetMode="External"/><Relationship Id="rId16" Type="http://schemas.openxmlformats.org/officeDocument/2006/relationships/hyperlink" Target="https://s.click.aliexpress.com/e/_oot69yi" TargetMode="External"/><Relationship Id="rId17" Type="http://schemas.openxmlformats.org/officeDocument/2006/relationships/hyperlink" Target="https://s.click.aliexpress.com/e/_c3QMepGj" TargetMode="External"/><Relationship Id="rId18" Type="http://schemas.openxmlformats.org/officeDocument/2006/relationships/hyperlink" Target="https://www.aliexpress.com/w/wholesale-16mm-cross-clamp.html" TargetMode="External"/><Relationship Id="rId19" Type="http://schemas.openxmlformats.org/officeDocument/2006/relationships/hyperlink" Target="https://s.click.aliexpress.com/e/_c4b6DgPd" TargetMode="External"/><Relationship Id="rId20" Type="http://schemas.openxmlformats.org/officeDocument/2006/relationships/hyperlink" Target="https://www.bunnings.com.au/metal-mate-16-x-1mm-1m-aluminium-round-tube-1m_p1067768" TargetMode="External"/><Relationship Id="rId21" Type="http://schemas.openxmlformats.org/officeDocument/2006/relationships/hyperlink" Target="https://s.click.aliexpress.com/e/_c42xcgIL" TargetMode="External"/><Relationship Id="rId22" Type="http://schemas.openxmlformats.org/officeDocument/2006/relationships/hyperlink" Target="https://www.aliexpress.com/w/wholesale-arca-swiss-quick-release-clamp.html" TargetMode="External"/><Relationship Id="rId23" Type="http://schemas.openxmlformats.org/officeDocument/2006/relationships/hyperlink" Target="https://s.click.aliexpress.com/e/_c3AAn9P1" TargetMode="External"/><Relationship Id="rId24" Type="http://schemas.openxmlformats.org/officeDocument/2006/relationships/hyperlink" Target="https://www.aliexpress.com/w/wholesale-arca-swiss-plate-100mm.html" TargetMode="External"/><Relationship Id="rId25" Type="http://schemas.openxmlformats.org/officeDocument/2006/relationships/hyperlink" Target="https://www.aliexpress.com/w/wholesale-M5-hex-nut.html" TargetMode="External"/><Relationship Id="rId26" Type="http://schemas.openxmlformats.org/officeDocument/2006/relationships/hyperlink" Target="https://s.click.aliexpress.com/e/_c4CPm5kp" TargetMode="External"/><Relationship Id="rId27" Type="http://schemas.openxmlformats.org/officeDocument/2006/relationships/hyperlink" Target="https://www.aliexpress.com/w/wholesale-M5-flat-washer.html" TargetMode="External"/><Relationship Id="rId28" Type="http://schemas.openxmlformats.org/officeDocument/2006/relationships/hyperlink" Target="https://www.aliexpress.com/w/wholesale-M5x20-socket-head-screw.html" TargetMode="External"/><Relationship Id="rId29" Type="http://schemas.openxmlformats.org/officeDocument/2006/relationships/hyperlink" Target="https://s.click.aliexpress.com/e/_c4F4mPuh" TargetMode="External"/><Relationship Id="rId30" Type="http://schemas.openxmlformats.org/officeDocument/2006/relationships/hyperlink" Target="https://www.aliexpress.com/w/wholesale-M5x25-socket-head-screw.html" TargetMode="External"/><Relationship Id="rId31" Type="http://schemas.openxmlformats.org/officeDocument/2006/relationships/hyperlink" Target="https://s.click.aliexpress.com/e/_c4F4mPuh" TargetMode="External"/><Relationship Id="rId32" Type="http://schemas.openxmlformats.org/officeDocument/2006/relationships/hyperlink" Target="https://www.aliexpress.com/w/wholesale-M5x40-socket-head-screw.html" TargetMode="External"/><Relationship Id="rId33" Type="http://schemas.openxmlformats.org/officeDocument/2006/relationships/hyperlink" Target="https://s.click.aliexpress.com/e/_c4F4mPuh" TargetMode="External"/><Relationship Id="rId34" Type="http://schemas.openxmlformats.org/officeDocument/2006/relationships/hyperlink" Target="https://www.aliexpress.com/w/wholesale-M3x10-socket-head-screw.html" TargetMode="External"/><Relationship Id="rId35" Type="http://schemas.openxmlformats.org/officeDocument/2006/relationships/hyperlink" Target="https://s.click.aliexpress.com/e/_c4F4mPuh" TargetMode="External"/><Relationship Id="rId36" Type="http://schemas.openxmlformats.org/officeDocument/2006/relationships/hyperlink" Target="https://www.aliexpress.com/w/wholesale-M3x12-self-tapping-screw.html" TargetMode="External"/><Relationship Id="rId37" Type="http://schemas.openxmlformats.org/officeDocument/2006/relationships/hyperlink" Target="https://s.click.aliexpress.com/e/_c4TpvOcH" TargetMode="External"/><Relationship Id="rId38" Type="http://schemas.openxmlformats.org/officeDocument/2006/relationships/hyperlink" Target="https://www.aliexpress.com/w/wholesale-M2.5x6-self-tapping-screw.html" TargetMode="External"/><Relationship Id="rId39" Type="http://schemas.openxmlformats.org/officeDocument/2006/relationships/hyperlink" Target="https://s.click.aliexpress.com/e/_c4TpvOcH" TargetMode="External"/><Relationship Id="rId40" Type="http://schemas.openxmlformats.org/officeDocument/2006/relationships/hyperlink" Target="https://www.aliexpress.com/w/wholesale-M6-hex-nut.html" TargetMode="External"/><Relationship Id="rId41" Type="http://schemas.openxmlformats.org/officeDocument/2006/relationships/hyperlink" Target="https://s.click.aliexpress.com/e/_c4CPm5kp" TargetMode="External"/><Relationship Id="rId42" Type="http://schemas.openxmlformats.org/officeDocument/2006/relationships/hyperlink" Target="https://www.aliexpress.com/w/wholesale-M6x30-countersunk-screw.html" TargetMode="External"/><Relationship Id="rId43" Type="http://schemas.openxmlformats.org/officeDocument/2006/relationships/hyperlink" Target="https://s.click.aliexpress.com/e/_c3c2tuQh" TargetMode="External"/><Relationship Id="rId44" Type="http://schemas.openxmlformats.org/officeDocument/2006/relationships/hyperlink" Target="https://www.aliexpress.com/w/wholesale-M6x45-countersunk-screw.html" TargetMode="External"/><Relationship Id="rId45" Type="http://schemas.openxmlformats.org/officeDocument/2006/relationships/hyperlink" Target="https://s.click.aliexpress.com/e/_c3c2tuQh" TargetMode="External"/><Relationship Id="rId46" Type="http://schemas.openxmlformats.org/officeDocument/2006/relationships/hyperlink" Target="https://www.bunnings.com.au/search/products?q=3mm%20nails" TargetMode="External"/><Relationship Id="rId47" Type="http://schemas.openxmlformats.org/officeDocument/2006/relationships/hyperlink" Target="https://www.aliexpress.com/w/wholesale-2.2k-resistor.html" TargetMode="External"/><Relationship Id="rId48" Type="http://schemas.openxmlformats.org/officeDocument/2006/relationships/hyperlink" Target="https://www.aliexpress.com/w/wholesale-resistor-kit.html" TargetMode="External"/><Relationship Id="rId49" Type="http://schemas.openxmlformats.org/officeDocument/2006/relationships/hyperlink" Target="https://s.click.aliexpress.com/e/_c3KIxmBd" TargetMode="External"/><Relationship Id="rId50" Type="http://schemas.openxmlformats.org/officeDocument/2006/relationships/hyperlink" Target="https://www.aliexpress.com/w/wholesale-wireless-zero-delay-arcade-encoder.html" TargetMode="External"/><Relationship Id="rId51" Type="http://schemas.openxmlformats.org/officeDocument/2006/relationships/hyperlink" Target="https://s.click.aliexpress.com/e/_olVdACO" TargetMode="External"/><Relationship Id="rId52" Type="http://schemas.openxmlformats.org/officeDocument/2006/relationships/hyperlink" Target="https://www.aliexpress.com/w/wholesale-16mm-momentary-push-button.html" TargetMode="External"/><Relationship Id="rId53" Type="http://schemas.openxmlformats.org/officeDocument/2006/relationships/hyperlink" Target="https://s.click.aliexpress.com/e/_onsXtvg" TargetMode="External"/><Relationship Id="rId54" Type="http://schemas.openxmlformats.org/officeDocument/2006/relationships/hyperlink" Target="https://www.aliexpress.com/w/wholesale-30x10x4mm-neodymium-magnet.html" TargetMode="External"/><Relationship Id="rId55" Type="http://schemas.openxmlformats.org/officeDocument/2006/relationships/hyperlink" Target="https://s.click.aliexpress.com/e/_c3UFiyA7" TargetMode="External"/><Relationship Id="rId56" Type="http://schemas.openxmlformats.org/officeDocument/2006/relationships/hyperlink" Target="https://www.aliexpress.com/w/wholesale-2-AA-battery-holder.html" TargetMode="External"/><Relationship Id="rId57" Type="http://schemas.openxmlformats.org/officeDocument/2006/relationships/hyperlink" Target="https://s.click.aliexpress.com/e/_okGq0CQ" TargetMode="External"/><Relationship Id="rId58" Type="http://schemas.openxmlformats.org/officeDocument/2006/relationships/hyperlink" Target="https://www.aliexpress.com/w/wholesale-KW11-3Z-roller-lever-micro-switch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5" min="4" style="0" width="10.5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8" min="8" style="0" width="28"/>
    <col collapsed="false" customWidth="true" hidden="false" outlineLevel="0" max="9" min="9" style="0" width="31"/>
    <col collapsed="false" customWidth="true" hidden="false" outlineLevel="0" max="10" min="10" style="0" width="18"/>
    <col collapsed="false" customWidth="true" hidden="false" outlineLevel="0" max="11" min="11" style="0" width="56"/>
    <col collapsed="false" customWidth="true" hidden="false" outlineLevel="0" max="12" min="12" style="0" width="40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8" hidden="false" customHeight="true" outlineLevel="0" collapsed="false">
      <c r="A3" s="3" t="s">
        <v>2</v>
      </c>
      <c r="B3" s="4" t="n">
        <v>200</v>
      </c>
      <c r="D3" s="5" t="s">
        <v>3</v>
      </c>
      <c r="E3" s="6" t="n">
        <f aca="false">E41</f>
        <v>191</v>
      </c>
      <c r="F3" s="3" t="str">
        <f aca="false">IF($E$3&lt;=$B$3,"UNDER BUDGET – $"&amp;TEXT($B$3-$E$3,"0.00")&amp;" spare","OVER BUDGET by $"&amp;TEXT($E$3-$B$3,"0.00"))</f>
        <v>UNDER BUDGET – $9.00 spare</v>
      </c>
    </row>
    <row r="5" customFormat="false" ht="19.5" hidden="false" customHeight="true" outlineLevel="0" collapsed="false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</row>
    <row r="6" customFormat="false" ht="15" hidden="false" customHeight="false" outlineLevel="0" collapsed="false">
      <c r="A6" s="8" t="s">
        <v>16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customFormat="false" ht="54" hidden="false" customHeight="true" outlineLevel="0" collapsed="false">
      <c r="A7" s="9" t="s">
        <v>17</v>
      </c>
      <c r="B7" s="9" t="s">
        <v>18</v>
      </c>
      <c r="C7" s="10" t="n">
        <v>1</v>
      </c>
      <c r="D7" s="11" t="n">
        <v>50</v>
      </c>
      <c r="E7" s="12" t="n">
        <f aca="false">C7*D7</f>
        <v>50</v>
      </c>
      <c r="F7" s="13" t="s">
        <v>19</v>
      </c>
      <c r="G7" s="9" t="s">
        <v>20</v>
      </c>
      <c r="H7" s="14" t="s">
        <v>21</v>
      </c>
      <c r="I7" s="14" t="s">
        <v>22</v>
      </c>
      <c r="J7" s="15" t="s">
        <v>23</v>
      </c>
      <c r="K7" s="9" t="s">
        <v>24</v>
      </c>
      <c r="L7" s="9" t="s">
        <v>25</v>
      </c>
    </row>
    <row r="8" customFormat="false" ht="28.5" hidden="false" customHeight="true" outlineLevel="0" collapsed="false">
      <c r="A8" s="9" t="s">
        <v>26</v>
      </c>
      <c r="B8" s="9" t="s">
        <v>18</v>
      </c>
      <c r="C8" s="10" t="n">
        <v>1</v>
      </c>
      <c r="D8" s="11" t="n">
        <v>0</v>
      </c>
      <c r="E8" s="12" t="n">
        <f aca="false">C8*D8</f>
        <v>0</v>
      </c>
      <c r="F8" s="16" t="s">
        <v>27</v>
      </c>
      <c r="G8" s="9" t="s">
        <v>28</v>
      </c>
      <c r="H8" s="17"/>
      <c r="I8" s="17"/>
      <c r="J8" s="15"/>
      <c r="K8" s="9" t="s">
        <v>29</v>
      </c>
      <c r="L8" s="9" t="s">
        <v>30</v>
      </c>
    </row>
    <row r="9" customFormat="false" ht="54" hidden="false" customHeight="true" outlineLevel="0" collapsed="false">
      <c r="A9" s="9" t="s">
        <v>31</v>
      </c>
      <c r="B9" s="9" t="s">
        <v>18</v>
      </c>
      <c r="C9" s="10" t="n">
        <v>1</v>
      </c>
      <c r="D9" s="11" t="n">
        <v>21</v>
      </c>
      <c r="E9" s="12" t="n">
        <f aca="false">C9*D9</f>
        <v>21</v>
      </c>
      <c r="F9" s="13" t="s">
        <v>19</v>
      </c>
      <c r="G9" s="9" t="s">
        <v>20</v>
      </c>
      <c r="H9" s="14" t="s">
        <v>21</v>
      </c>
      <c r="I9" s="14" t="s">
        <v>32</v>
      </c>
      <c r="J9" s="15" t="s">
        <v>23</v>
      </c>
      <c r="K9" s="9" t="s">
        <v>33</v>
      </c>
      <c r="L9" s="9" t="s">
        <v>34</v>
      </c>
    </row>
    <row r="10" customFormat="false" ht="41.25" hidden="false" customHeight="true" outlineLevel="0" collapsed="false">
      <c r="A10" s="9" t="s">
        <v>35</v>
      </c>
      <c r="B10" s="9" t="s">
        <v>18</v>
      </c>
      <c r="C10" s="10" t="n">
        <v>1</v>
      </c>
      <c r="D10" s="11" t="n">
        <v>38</v>
      </c>
      <c r="E10" s="12" t="n">
        <f aca="false">C10*D10</f>
        <v>38</v>
      </c>
      <c r="F10" s="13" t="s">
        <v>36</v>
      </c>
      <c r="G10" s="9" t="s">
        <v>20</v>
      </c>
      <c r="H10" s="14" t="s">
        <v>21</v>
      </c>
      <c r="I10" s="14" t="s">
        <v>37</v>
      </c>
      <c r="J10" s="15" t="s">
        <v>23</v>
      </c>
      <c r="K10" s="9" t="s">
        <v>38</v>
      </c>
      <c r="L10" s="9" t="s">
        <v>39</v>
      </c>
    </row>
    <row r="11" customFormat="false" ht="28.5" hidden="false" customHeight="true" outlineLevel="0" collapsed="false">
      <c r="A11" s="9" t="s">
        <v>40</v>
      </c>
      <c r="B11" s="9" t="s">
        <v>18</v>
      </c>
      <c r="C11" s="10" t="n">
        <v>1</v>
      </c>
      <c r="D11" s="11" t="n">
        <v>1.5</v>
      </c>
      <c r="E11" s="12" t="n">
        <f aca="false">C11*D11</f>
        <v>1.5</v>
      </c>
      <c r="F11" s="16" t="s">
        <v>41</v>
      </c>
      <c r="G11" s="9" t="s">
        <v>20</v>
      </c>
      <c r="H11" s="14" t="s">
        <v>42</v>
      </c>
      <c r="I11" s="14" t="s">
        <v>21</v>
      </c>
      <c r="J11" s="15" t="s">
        <v>43</v>
      </c>
      <c r="K11" s="9" t="s">
        <v>44</v>
      </c>
      <c r="L11" s="9" t="s">
        <v>45</v>
      </c>
    </row>
    <row r="12" customFormat="false" ht="28.5" hidden="false" customHeight="true" outlineLevel="0" collapsed="false">
      <c r="A12" s="9" t="s">
        <v>46</v>
      </c>
      <c r="B12" s="9" t="s">
        <v>18</v>
      </c>
      <c r="C12" s="10" t="n">
        <v>1</v>
      </c>
      <c r="D12" s="11" t="n">
        <v>3.5</v>
      </c>
      <c r="E12" s="12" t="n">
        <f aca="false">C12*D12</f>
        <v>3.5</v>
      </c>
      <c r="F12" s="16" t="s">
        <v>41</v>
      </c>
      <c r="G12" s="9" t="s">
        <v>20</v>
      </c>
      <c r="H12" s="14" t="s">
        <v>47</v>
      </c>
      <c r="I12" s="14" t="s">
        <v>21</v>
      </c>
      <c r="J12" s="15" t="s">
        <v>43</v>
      </c>
      <c r="K12" s="9" t="s">
        <v>48</v>
      </c>
      <c r="L12" s="9" t="s">
        <v>49</v>
      </c>
    </row>
    <row r="13" customFormat="false" ht="28.5" hidden="false" customHeight="true" outlineLevel="0" collapsed="false">
      <c r="A13" s="9" t="s">
        <v>50</v>
      </c>
      <c r="B13" s="9" t="s">
        <v>18</v>
      </c>
      <c r="C13" s="10" t="n">
        <v>1</v>
      </c>
      <c r="D13" s="11" t="n">
        <v>3.5</v>
      </c>
      <c r="E13" s="12" t="n">
        <f aca="false">C13*D13</f>
        <v>3.5</v>
      </c>
      <c r="F13" s="16" t="s">
        <v>41</v>
      </c>
      <c r="G13" s="9" t="s">
        <v>20</v>
      </c>
      <c r="H13" s="14" t="s">
        <v>51</v>
      </c>
      <c r="I13" s="14" t="s">
        <v>21</v>
      </c>
      <c r="J13" s="15" t="s">
        <v>43</v>
      </c>
      <c r="K13" s="9" t="s">
        <v>52</v>
      </c>
      <c r="L13" s="9" t="s">
        <v>53</v>
      </c>
    </row>
    <row r="14" customFormat="false" ht="41.25" hidden="false" customHeight="true" outlineLevel="0" collapsed="false">
      <c r="A14" s="9" t="s">
        <v>54</v>
      </c>
      <c r="B14" s="9" t="s">
        <v>18</v>
      </c>
      <c r="C14" s="10" t="n">
        <v>1</v>
      </c>
      <c r="D14" s="11" t="n">
        <v>25</v>
      </c>
      <c r="E14" s="12" t="n">
        <f aca="false">C14*D14</f>
        <v>25</v>
      </c>
      <c r="F14" s="16" t="s">
        <v>41</v>
      </c>
      <c r="G14" s="9" t="s">
        <v>20</v>
      </c>
      <c r="H14" s="14" t="s">
        <v>55</v>
      </c>
      <c r="I14" s="14" t="s">
        <v>21</v>
      </c>
      <c r="J14" s="15" t="s">
        <v>43</v>
      </c>
      <c r="K14" s="9" t="s">
        <v>56</v>
      </c>
      <c r="L14" s="9" t="s">
        <v>57</v>
      </c>
    </row>
    <row r="15" customFormat="false" ht="28.5" hidden="false" customHeight="true" outlineLevel="0" collapsed="false">
      <c r="A15" s="9" t="s">
        <v>58</v>
      </c>
      <c r="B15" s="9" t="s">
        <v>59</v>
      </c>
      <c r="C15" s="10" t="n">
        <v>1</v>
      </c>
      <c r="D15" s="11" t="n">
        <v>3</v>
      </c>
      <c r="E15" s="12" t="n">
        <f aca="false">C15*D15</f>
        <v>3</v>
      </c>
      <c r="F15" s="16" t="s">
        <v>60</v>
      </c>
      <c r="G15" s="9" t="s">
        <v>20</v>
      </c>
      <c r="H15" s="14" t="s">
        <v>61</v>
      </c>
      <c r="I15" s="14" t="s">
        <v>21</v>
      </c>
      <c r="J15" s="15" t="s">
        <v>43</v>
      </c>
      <c r="K15" s="9" t="s">
        <v>62</v>
      </c>
      <c r="L15" s="9" t="s">
        <v>63</v>
      </c>
    </row>
    <row r="16" customFormat="false" ht="15.75" hidden="false" customHeight="true" outlineLevel="0" collapsed="false">
      <c r="A16" s="9" t="s">
        <v>64</v>
      </c>
      <c r="B16" s="9" t="s">
        <v>18</v>
      </c>
      <c r="C16" s="10" t="n">
        <v>1</v>
      </c>
      <c r="D16" s="11" t="n">
        <v>6</v>
      </c>
      <c r="E16" s="12" t="n">
        <f aca="false">C16*D16</f>
        <v>6</v>
      </c>
      <c r="F16" s="13" t="s">
        <v>19</v>
      </c>
      <c r="G16" s="9" t="s">
        <v>20</v>
      </c>
      <c r="H16" s="14" t="s">
        <v>21</v>
      </c>
      <c r="I16" s="14" t="s">
        <v>65</v>
      </c>
      <c r="J16" s="15" t="s">
        <v>23</v>
      </c>
      <c r="K16" s="9" t="s">
        <v>66</v>
      </c>
      <c r="L16" s="9" t="s">
        <v>67</v>
      </c>
    </row>
    <row r="17" customFormat="false" ht="41.25" hidden="false" customHeight="true" outlineLevel="0" collapsed="false">
      <c r="A17" s="9" t="s">
        <v>68</v>
      </c>
      <c r="B17" s="9" t="s">
        <v>69</v>
      </c>
      <c r="C17" s="10" t="n">
        <v>1</v>
      </c>
      <c r="D17" s="11" t="n">
        <v>4.5</v>
      </c>
      <c r="E17" s="12" t="n">
        <f aca="false">C17*D17</f>
        <v>4.5</v>
      </c>
      <c r="F17" s="13" t="s">
        <v>70</v>
      </c>
      <c r="G17" s="9" t="s">
        <v>20</v>
      </c>
      <c r="H17" s="14" t="s">
        <v>21</v>
      </c>
      <c r="I17" s="14" t="s">
        <v>71</v>
      </c>
      <c r="J17" s="15" t="s">
        <v>23</v>
      </c>
      <c r="K17" s="9" t="s">
        <v>72</v>
      </c>
      <c r="L17" s="9" t="s">
        <v>73</v>
      </c>
    </row>
    <row r="18" customFormat="false" ht="41.25" hidden="false" customHeight="true" outlineLevel="0" collapsed="false">
      <c r="A18" s="9" t="s">
        <v>74</v>
      </c>
      <c r="B18" s="9" t="s">
        <v>18</v>
      </c>
      <c r="C18" s="10" t="n">
        <v>1</v>
      </c>
      <c r="D18" s="11" t="n">
        <v>12</v>
      </c>
      <c r="E18" s="12" t="n">
        <f aca="false">C18*D18</f>
        <v>12</v>
      </c>
      <c r="F18" s="13" t="s">
        <v>75</v>
      </c>
      <c r="G18" s="9" t="s">
        <v>20</v>
      </c>
      <c r="H18" s="14" t="s">
        <v>21</v>
      </c>
      <c r="I18" s="14" t="s">
        <v>76</v>
      </c>
      <c r="J18" s="15" t="s">
        <v>23</v>
      </c>
      <c r="K18" s="9" t="s">
        <v>77</v>
      </c>
      <c r="L18" s="9" t="s">
        <v>78</v>
      </c>
    </row>
    <row r="19" customFormat="false" ht="28.5" hidden="false" customHeight="true" outlineLevel="0" collapsed="false">
      <c r="A19" s="9" t="s">
        <v>79</v>
      </c>
      <c r="B19" s="9" t="s">
        <v>18</v>
      </c>
      <c r="C19" s="10" t="n">
        <v>1</v>
      </c>
      <c r="D19" s="11" t="n">
        <v>6</v>
      </c>
      <c r="E19" s="12" t="n">
        <f aca="false">C19*D19</f>
        <v>6</v>
      </c>
      <c r="F19" s="13" t="s">
        <v>19</v>
      </c>
      <c r="G19" s="9" t="s">
        <v>20</v>
      </c>
      <c r="H19" s="14" t="s">
        <v>21</v>
      </c>
      <c r="I19" s="14" t="s">
        <v>80</v>
      </c>
      <c r="J19" s="15" t="s">
        <v>23</v>
      </c>
      <c r="K19" s="9" t="s">
        <v>81</v>
      </c>
      <c r="L19" s="9" t="s">
        <v>82</v>
      </c>
    </row>
    <row r="20" customFormat="false" ht="15" hidden="false" customHeight="false" outlineLevel="0" collapsed="false">
      <c r="A20" s="18" t="s">
        <v>83</v>
      </c>
      <c r="B20" s="19"/>
      <c r="C20" s="19"/>
      <c r="D20" s="19"/>
      <c r="E20" s="20" t="n">
        <f aca="false">SUM(E7:E19)</f>
        <v>174</v>
      </c>
      <c r="F20" s="19"/>
      <c r="G20" s="19"/>
      <c r="H20" s="19"/>
      <c r="I20" s="19"/>
      <c r="J20" s="19"/>
      <c r="K20" s="19"/>
      <c r="L20" s="19"/>
    </row>
    <row r="22" customFormat="false" ht="15" hidden="false" customHeight="false" outlineLevel="0" collapsed="false">
      <c r="A22" s="8" t="s">
        <v>84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customFormat="false" ht="41.25" hidden="false" customHeight="true" outlineLevel="0" collapsed="false">
      <c r="A23" s="9" t="s">
        <v>85</v>
      </c>
      <c r="B23" s="9" t="s">
        <v>86</v>
      </c>
      <c r="C23" s="10" t="n">
        <v>1</v>
      </c>
      <c r="D23" s="11" t="n">
        <v>1</v>
      </c>
      <c r="E23" s="12" t="n">
        <f aca="false">C23*D23</f>
        <v>1</v>
      </c>
      <c r="F23" s="16" t="s">
        <v>87</v>
      </c>
      <c r="G23" s="9" t="s">
        <v>20</v>
      </c>
      <c r="H23" s="14" t="s">
        <v>88</v>
      </c>
      <c r="I23" s="14" t="s">
        <v>21</v>
      </c>
      <c r="J23" s="15" t="s">
        <v>43</v>
      </c>
      <c r="K23" s="9" t="s">
        <v>89</v>
      </c>
      <c r="L23" s="9" t="s">
        <v>90</v>
      </c>
    </row>
    <row r="24" customFormat="false" ht="28.5" hidden="false" customHeight="true" outlineLevel="0" collapsed="false">
      <c r="A24" s="9" t="s">
        <v>91</v>
      </c>
      <c r="B24" s="9" t="s">
        <v>92</v>
      </c>
      <c r="C24" s="10" t="n">
        <v>1</v>
      </c>
      <c r="D24" s="11" t="n">
        <v>1</v>
      </c>
      <c r="E24" s="12" t="n">
        <f aca="false">C24*D24</f>
        <v>1</v>
      </c>
      <c r="F24" s="16" t="s">
        <v>87</v>
      </c>
      <c r="G24" s="9" t="s">
        <v>20</v>
      </c>
      <c r="H24" s="14" t="s">
        <v>93</v>
      </c>
      <c r="I24" s="17"/>
      <c r="J24" s="15" t="s">
        <v>43</v>
      </c>
      <c r="K24" s="9"/>
      <c r="L24" s="9" t="s">
        <v>90</v>
      </c>
    </row>
    <row r="25" customFormat="false" ht="28.5" hidden="false" customHeight="true" outlineLevel="0" collapsed="false">
      <c r="A25" s="9" t="s">
        <v>94</v>
      </c>
      <c r="B25" s="9" t="s">
        <v>18</v>
      </c>
      <c r="C25" s="10" t="n">
        <v>1</v>
      </c>
      <c r="D25" s="11" t="n">
        <v>1.5</v>
      </c>
      <c r="E25" s="12" t="n">
        <f aca="false">C25*D25</f>
        <v>1.5</v>
      </c>
      <c r="F25" s="16" t="s">
        <v>87</v>
      </c>
      <c r="G25" s="9" t="s">
        <v>20</v>
      </c>
      <c r="H25" s="14" t="s">
        <v>95</v>
      </c>
      <c r="I25" s="14" t="s">
        <v>21</v>
      </c>
      <c r="J25" s="15" t="s">
        <v>43</v>
      </c>
      <c r="K25" s="9"/>
      <c r="L25" s="9" t="s">
        <v>90</v>
      </c>
    </row>
    <row r="26" customFormat="false" ht="28.5" hidden="false" customHeight="true" outlineLevel="0" collapsed="false">
      <c r="A26" s="9" t="s">
        <v>96</v>
      </c>
      <c r="B26" s="9" t="s">
        <v>92</v>
      </c>
      <c r="C26" s="10" t="n">
        <v>1</v>
      </c>
      <c r="D26" s="11" t="n">
        <v>1.5</v>
      </c>
      <c r="E26" s="12" t="n">
        <f aca="false">C26*D26</f>
        <v>1.5</v>
      </c>
      <c r="F26" s="16" t="s">
        <v>87</v>
      </c>
      <c r="G26" s="9" t="s">
        <v>20</v>
      </c>
      <c r="H26" s="14" t="s">
        <v>97</v>
      </c>
      <c r="I26" s="14" t="s">
        <v>21</v>
      </c>
      <c r="J26" s="15" t="s">
        <v>43</v>
      </c>
      <c r="K26" s="9"/>
      <c r="L26" s="9" t="s">
        <v>90</v>
      </c>
    </row>
    <row r="27" customFormat="false" ht="28.5" hidden="false" customHeight="true" outlineLevel="0" collapsed="false">
      <c r="A27" s="9" t="s">
        <v>98</v>
      </c>
      <c r="B27" s="9" t="s">
        <v>92</v>
      </c>
      <c r="C27" s="10" t="n">
        <v>1</v>
      </c>
      <c r="D27" s="11" t="n">
        <v>1.5</v>
      </c>
      <c r="E27" s="12" t="n">
        <f aca="false">C27*D27</f>
        <v>1.5</v>
      </c>
      <c r="F27" s="16" t="s">
        <v>87</v>
      </c>
      <c r="G27" s="9" t="s">
        <v>20</v>
      </c>
      <c r="H27" s="14" t="s">
        <v>99</v>
      </c>
      <c r="I27" s="14" t="s">
        <v>21</v>
      </c>
      <c r="J27" s="15" t="s">
        <v>43</v>
      </c>
      <c r="K27" s="9"/>
      <c r="L27" s="9" t="s">
        <v>90</v>
      </c>
    </row>
    <row r="28" customFormat="false" ht="28.5" hidden="false" customHeight="true" outlineLevel="0" collapsed="false">
      <c r="A28" s="9" t="s">
        <v>100</v>
      </c>
      <c r="B28" s="9" t="s">
        <v>101</v>
      </c>
      <c r="C28" s="10" t="n">
        <v>1</v>
      </c>
      <c r="D28" s="11" t="n">
        <v>1</v>
      </c>
      <c r="E28" s="12" t="n">
        <f aca="false">C28*D28</f>
        <v>1</v>
      </c>
      <c r="F28" s="16" t="s">
        <v>87</v>
      </c>
      <c r="G28" s="9" t="s">
        <v>20</v>
      </c>
      <c r="H28" s="14" t="s">
        <v>102</v>
      </c>
      <c r="I28" s="14" t="s">
        <v>21</v>
      </c>
      <c r="J28" s="15" t="s">
        <v>43</v>
      </c>
      <c r="K28" s="9"/>
      <c r="L28" s="9" t="s">
        <v>90</v>
      </c>
    </row>
    <row r="29" customFormat="false" ht="28.5" hidden="false" customHeight="true" outlineLevel="0" collapsed="false">
      <c r="A29" s="9" t="s">
        <v>103</v>
      </c>
      <c r="B29" s="9" t="s">
        <v>104</v>
      </c>
      <c r="C29" s="10" t="n">
        <v>1</v>
      </c>
      <c r="D29" s="11" t="n">
        <v>1</v>
      </c>
      <c r="E29" s="12" t="n">
        <f aca="false">C29*D29</f>
        <v>1</v>
      </c>
      <c r="F29" s="16" t="s">
        <v>87</v>
      </c>
      <c r="G29" s="9" t="s">
        <v>20</v>
      </c>
      <c r="H29" s="14" t="s">
        <v>105</v>
      </c>
      <c r="I29" s="14" t="s">
        <v>21</v>
      </c>
      <c r="J29" s="15" t="s">
        <v>43</v>
      </c>
      <c r="K29" s="9"/>
      <c r="L29" s="9" t="s">
        <v>90</v>
      </c>
    </row>
    <row r="30" customFormat="false" ht="28.5" hidden="false" customHeight="true" outlineLevel="0" collapsed="false">
      <c r="A30" s="9" t="s">
        <v>106</v>
      </c>
      <c r="B30" s="9" t="s">
        <v>107</v>
      </c>
      <c r="C30" s="10" t="n">
        <v>1</v>
      </c>
      <c r="D30" s="11" t="n">
        <v>1</v>
      </c>
      <c r="E30" s="12" t="n">
        <f aca="false">C30*D30</f>
        <v>1</v>
      </c>
      <c r="F30" s="16" t="s">
        <v>87</v>
      </c>
      <c r="G30" s="9" t="s">
        <v>20</v>
      </c>
      <c r="H30" s="14" t="s">
        <v>108</v>
      </c>
      <c r="I30" s="14" t="s">
        <v>21</v>
      </c>
      <c r="J30" s="15" t="s">
        <v>43</v>
      </c>
      <c r="K30" s="9"/>
      <c r="L30" s="9" t="s">
        <v>90</v>
      </c>
    </row>
    <row r="31" customFormat="false" ht="28.5" hidden="false" customHeight="true" outlineLevel="0" collapsed="false">
      <c r="A31" s="9" t="s">
        <v>109</v>
      </c>
      <c r="B31" s="9" t="s">
        <v>101</v>
      </c>
      <c r="C31" s="10" t="n">
        <v>1</v>
      </c>
      <c r="D31" s="11" t="n">
        <v>1</v>
      </c>
      <c r="E31" s="12" t="n">
        <f aca="false">C31*D31</f>
        <v>1</v>
      </c>
      <c r="F31" s="16" t="s">
        <v>87</v>
      </c>
      <c r="G31" s="9" t="s">
        <v>20</v>
      </c>
      <c r="H31" s="14" t="s">
        <v>110</v>
      </c>
      <c r="I31" s="14" t="s">
        <v>21</v>
      </c>
      <c r="J31" s="15" t="s">
        <v>43</v>
      </c>
      <c r="K31" s="9"/>
      <c r="L31" s="9" t="s">
        <v>90</v>
      </c>
    </row>
    <row r="32" customFormat="false" ht="28.5" hidden="false" customHeight="true" outlineLevel="0" collapsed="false">
      <c r="A32" s="9" t="s">
        <v>111</v>
      </c>
      <c r="B32" s="9" t="s">
        <v>92</v>
      </c>
      <c r="C32" s="10" t="n">
        <v>1</v>
      </c>
      <c r="D32" s="11" t="n">
        <v>1.5</v>
      </c>
      <c r="E32" s="12" t="n">
        <f aca="false">C32*D32</f>
        <v>1.5</v>
      </c>
      <c r="F32" s="16" t="s">
        <v>87</v>
      </c>
      <c r="G32" s="9" t="s">
        <v>20</v>
      </c>
      <c r="H32" s="14" t="s">
        <v>112</v>
      </c>
      <c r="I32" s="14" t="s">
        <v>21</v>
      </c>
      <c r="J32" s="15" t="s">
        <v>43</v>
      </c>
      <c r="K32" s="9"/>
      <c r="L32" s="9" t="s">
        <v>90</v>
      </c>
    </row>
    <row r="33" customFormat="false" ht="28.5" hidden="false" customHeight="true" outlineLevel="0" collapsed="false">
      <c r="A33" s="9" t="s">
        <v>113</v>
      </c>
      <c r="B33" s="9" t="s">
        <v>18</v>
      </c>
      <c r="C33" s="10" t="n">
        <v>1</v>
      </c>
      <c r="D33" s="11" t="n">
        <v>1.5</v>
      </c>
      <c r="E33" s="12" t="n">
        <f aca="false">C33*D33</f>
        <v>1.5</v>
      </c>
      <c r="F33" s="16" t="s">
        <v>87</v>
      </c>
      <c r="G33" s="9" t="s">
        <v>20</v>
      </c>
      <c r="H33" s="14" t="s">
        <v>114</v>
      </c>
      <c r="I33" s="14" t="s">
        <v>21</v>
      </c>
      <c r="J33" s="15" t="s">
        <v>43</v>
      </c>
      <c r="K33" s="9"/>
      <c r="L33" s="9" t="s">
        <v>90</v>
      </c>
    </row>
    <row r="34" customFormat="false" ht="28.5" hidden="false" customHeight="true" outlineLevel="0" collapsed="false">
      <c r="A34" s="9" t="s">
        <v>115</v>
      </c>
      <c r="B34" s="9" t="s">
        <v>116</v>
      </c>
      <c r="C34" s="10" t="n">
        <v>1</v>
      </c>
      <c r="D34" s="11" t="n">
        <v>2.5</v>
      </c>
      <c r="E34" s="12" t="n">
        <f aca="false">C34*D34</f>
        <v>2.5</v>
      </c>
      <c r="F34" s="13" t="s">
        <v>117</v>
      </c>
      <c r="G34" s="9" t="s">
        <v>118</v>
      </c>
      <c r="H34" s="14" t="s">
        <v>119</v>
      </c>
      <c r="I34" s="17"/>
      <c r="J34" s="15" t="s">
        <v>120</v>
      </c>
      <c r="K34" s="9" t="s">
        <v>121</v>
      </c>
      <c r="L34" s="9" t="s">
        <v>122</v>
      </c>
    </row>
    <row r="35" customFormat="false" ht="15" hidden="false" customHeight="false" outlineLevel="0" collapsed="false">
      <c r="A35" s="18" t="s">
        <v>123</v>
      </c>
      <c r="B35" s="19"/>
      <c r="C35" s="19"/>
      <c r="D35" s="19"/>
      <c r="E35" s="20" t="n">
        <f aca="false">SUM(E23:E34)</f>
        <v>16</v>
      </c>
      <c r="F35" s="19"/>
      <c r="G35" s="19"/>
      <c r="H35" s="19"/>
      <c r="I35" s="19"/>
      <c r="J35" s="19"/>
      <c r="K35" s="19"/>
      <c r="L35" s="19"/>
    </row>
    <row r="37" customFormat="false" ht="15" hidden="false" customHeight="false" outlineLevel="0" collapsed="false">
      <c r="A37" s="8" t="s">
        <v>124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41.25" hidden="false" customHeight="true" outlineLevel="0" collapsed="false">
      <c r="A38" s="9" t="s">
        <v>125</v>
      </c>
      <c r="B38" s="9" t="s">
        <v>101</v>
      </c>
      <c r="C38" s="10" t="n">
        <v>1</v>
      </c>
      <c r="D38" s="11" t="n">
        <v>1</v>
      </c>
      <c r="E38" s="12" t="n">
        <f aca="false">C38*D38</f>
        <v>1</v>
      </c>
      <c r="F38" s="21" t="s">
        <v>126</v>
      </c>
      <c r="G38" s="9" t="s">
        <v>127</v>
      </c>
      <c r="H38" s="14" t="s">
        <v>128</v>
      </c>
      <c r="I38" s="14" t="s">
        <v>129</v>
      </c>
      <c r="J38" s="15" t="s">
        <v>43</v>
      </c>
      <c r="K38" s="9" t="s">
        <v>130</v>
      </c>
      <c r="L38" s="9" t="s">
        <v>131</v>
      </c>
    </row>
    <row r="39" customFormat="false" ht="15" hidden="false" customHeight="false" outlineLevel="0" collapsed="false">
      <c r="A39" s="18" t="s">
        <v>132</v>
      </c>
      <c r="B39" s="19"/>
      <c r="C39" s="19"/>
      <c r="D39" s="19"/>
      <c r="E39" s="20" t="n">
        <f aca="false">SUM(E38:E38)</f>
        <v>1</v>
      </c>
      <c r="F39" s="19"/>
      <c r="G39" s="19"/>
      <c r="H39" s="19"/>
      <c r="I39" s="19"/>
      <c r="J39" s="19"/>
      <c r="K39" s="19"/>
      <c r="L39" s="19"/>
    </row>
    <row r="41" customFormat="false" ht="18" hidden="false" customHeight="true" outlineLevel="0" collapsed="false">
      <c r="A41" s="22" t="s">
        <v>133</v>
      </c>
      <c r="B41" s="22"/>
      <c r="C41" s="22"/>
      <c r="D41" s="22"/>
      <c r="E41" s="23" t="n">
        <f aca="false">E20+E35+E39</f>
        <v>191</v>
      </c>
      <c r="F41" s="22"/>
      <c r="G41" s="22"/>
      <c r="H41" s="22"/>
      <c r="I41" s="22"/>
      <c r="J41" s="22"/>
      <c r="K41" s="22"/>
      <c r="L41" s="22"/>
    </row>
    <row r="43" customFormat="false" ht="15" hidden="false" customHeight="false" outlineLevel="0" collapsed="false">
      <c r="A43" s="8" t="s">
        <v>134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customFormat="false" ht="28.5" hidden="false" customHeight="true" outlineLevel="0" collapsed="false">
      <c r="A44" s="9" t="s">
        <v>135</v>
      </c>
      <c r="B44" s="9" t="s">
        <v>18</v>
      </c>
      <c r="C44" s="10" t="n">
        <v>1</v>
      </c>
      <c r="D44" s="11" t="n">
        <v>10</v>
      </c>
      <c r="E44" s="12" t="n">
        <f aca="false">C44*D44</f>
        <v>10</v>
      </c>
      <c r="F44" s="24" t="s">
        <v>136</v>
      </c>
      <c r="G44" s="9" t="s">
        <v>20</v>
      </c>
      <c r="H44" s="14" t="s">
        <v>21</v>
      </c>
      <c r="I44" s="14" t="s">
        <v>137</v>
      </c>
      <c r="J44" s="15" t="s">
        <v>23</v>
      </c>
      <c r="K44" s="9" t="s">
        <v>138</v>
      </c>
      <c r="L44" s="9" t="s">
        <v>139</v>
      </c>
    </row>
    <row r="45" customFormat="false" ht="15.75" hidden="false" customHeight="true" outlineLevel="0" collapsed="false">
      <c r="A45" s="9" t="s">
        <v>140</v>
      </c>
      <c r="B45" s="9" t="s">
        <v>141</v>
      </c>
      <c r="C45" s="10" t="n">
        <v>2</v>
      </c>
      <c r="D45" s="11" t="n">
        <v>3</v>
      </c>
      <c r="E45" s="12" t="n">
        <f aca="false">C45*D45</f>
        <v>6</v>
      </c>
      <c r="F45" s="24" t="s">
        <v>136</v>
      </c>
      <c r="G45" s="9" t="s">
        <v>20</v>
      </c>
      <c r="H45" s="14" t="s">
        <v>21</v>
      </c>
      <c r="I45" s="14" t="s">
        <v>142</v>
      </c>
      <c r="J45" s="15" t="s">
        <v>23</v>
      </c>
      <c r="K45" s="9" t="s">
        <v>143</v>
      </c>
      <c r="L45" s="9" t="s">
        <v>144</v>
      </c>
    </row>
    <row r="46" customFormat="false" ht="15.75" hidden="false" customHeight="true" outlineLevel="0" collapsed="false">
      <c r="A46" s="9" t="s">
        <v>145</v>
      </c>
      <c r="B46" s="9" t="s">
        <v>146</v>
      </c>
      <c r="C46" s="10" t="n">
        <v>1</v>
      </c>
      <c r="D46" s="11" t="n">
        <v>5</v>
      </c>
      <c r="E46" s="12" t="n">
        <f aca="false">C46*D46</f>
        <v>5</v>
      </c>
      <c r="F46" s="24" t="s">
        <v>136</v>
      </c>
      <c r="G46" s="9" t="s">
        <v>20</v>
      </c>
      <c r="H46" s="14" t="s">
        <v>21</v>
      </c>
      <c r="I46" s="14" t="s">
        <v>147</v>
      </c>
      <c r="J46" s="15" t="s">
        <v>23</v>
      </c>
      <c r="K46" s="9" t="s">
        <v>143</v>
      </c>
      <c r="L46" s="9" t="s">
        <v>148</v>
      </c>
    </row>
    <row r="47" customFormat="false" ht="15.75" hidden="false" customHeight="true" outlineLevel="0" collapsed="false">
      <c r="A47" s="9" t="s">
        <v>149</v>
      </c>
      <c r="B47" s="9" t="s">
        <v>18</v>
      </c>
      <c r="C47" s="10" t="n">
        <v>1</v>
      </c>
      <c r="D47" s="11" t="n">
        <v>1.5</v>
      </c>
      <c r="E47" s="12" t="n">
        <f aca="false">C47*D47</f>
        <v>1.5</v>
      </c>
      <c r="F47" s="24" t="s">
        <v>136</v>
      </c>
      <c r="G47" s="9" t="s">
        <v>20</v>
      </c>
      <c r="H47" s="14" t="s">
        <v>21</v>
      </c>
      <c r="I47" s="14" t="s">
        <v>150</v>
      </c>
      <c r="J47" s="15" t="s">
        <v>23</v>
      </c>
      <c r="K47" s="9" t="s">
        <v>151</v>
      </c>
      <c r="L47" s="9" t="s">
        <v>152</v>
      </c>
    </row>
    <row r="48" customFormat="false" ht="41.25" hidden="false" customHeight="true" outlineLevel="0" collapsed="false">
      <c r="A48" s="9" t="s">
        <v>153</v>
      </c>
      <c r="B48" s="9" t="s">
        <v>92</v>
      </c>
      <c r="C48" s="10" t="n">
        <v>1</v>
      </c>
      <c r="D48" s="11" t="n">
        <v>0</v>
      </c>
      <c r="E48" s="12" t="n">
        <f aca="false">C48*D48</f>
        <v>0</v>
      </c>
      <c r="F48" s="24" t="s">
        <v>154</v>
      </c>
      <c r="G48" s="9" t="s">
        <v>155</v>
      </c>
      <c r="H48" s="14" t="s">
        <v>21</v>
      </c>
      <c r="I48" s="14" t="s">
        <v>156</v>
      </c>
      <c r="J48" s="15" t="s">
        <v>157</v>
      </c>
      <c r="K48" s="9" t="s">
        <v>158</v>
      </c>
      <c r="L48" s="9" t="s">
        <v>159</v>
      </c>
    </row>
    <row r="49" customFormat="false" ht="28.5" hidden="false" customHeight="true" outlineLevel="0" collapsed="false">
      <c r="A49" s="9" t="s">
        <v>160</v>
      </c>
      <c r="B49" s="9" t="s">
        <v>92</v>
      </c>
      <c r="C49" s="10" t="n">
        <v>1</v>
      </c>
      <c r="D49" s="11" t="n">
        <v>2</v>
      </c>
      <c r="E49" s="12" t="n">
        <f aca="false">C49*D49</f>
        <v>2</v>
      </c>
      <c r="F49" s="24" t="s">
        <v>161</v>
      </c>
      <c r="G49" s="9" t="s">
        <v>162</v>
      </c>
      <c r="H49" s="17"/>
      <c r="I49" s="17"/>
      <c r="J49" s="15"/>
      <c r="K49" s="9" t="s">
        <v>163</v>
      </c>
      <c r="L49" s="9" t="s">
        <v>164</v>
      </c>
    </row>
    <row r="50" customFormat="false" ht="15" hidden="false" customHeight="false" outlineLevel="0" collapsed="false">
      <c r="A50" s="18" t="s">
        <v>165</v>
      </c>
      <c r="B50" s="19"/>
      <c r="C50" s="19"/>
      <c r="D50" s="19"/>
      <c r="E50" s="20" t="n">
        <f aca="false">SUM(E44:E49)</f>
        <v>24.5</v>
      </c>
      <c r="F50" s="19"/>
      <c r="G50" s="19"/>
      <c r="H50" s="19"/>
      <c r="I50" s="19"/>
      <c r="J50" s="19"/>
      <c r="K50" s="19"/>
      <c r="L50" s="19"/>
    </row>
    <row r="51" customFormat="false" ht="15" hidden="false" customHeight="false" outlineLevel="0" collapsed="false">
      <c r="A51" s="3" t="s">
        <v>166</v>
      </c>
      <c r="E51" s="6" t="n">
        <f aca="false">E41+E50</f>
        <v>215.5</v>
      </c>
    </row>
    <row r="53" customFormat="false" ht="15" hidden="false" customHeight="false" outlineLevel="0" collapsed="false">
      <c r="A53" s="8" t="s">
        <v>167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customFormat="false" ht="15.75" hidden="false" customHeight="true" outlineLevel="0" collapsed="false">
      <c r="A54" s="9" t="s">
        <v>168</v>
      </c>
      <c r="B54" s="9" t="s">
        <v>169</v>
      </c>
      <c r="C54" s="10" t="n">
        <v>1</v>
      </c>
      <c r="D54" s="11" t="n">
        <v>5</v>
      </c>
      <c r="E54" s="12" t="n">
        <f aca="false">C54*D54</f>
        <v>5</v>
      </c>
      <c r="F54" s="25" t="s">
        <v>170</v>
      </c>
      <c r="G54" s="9" t="s">
        <v>171</v>
      </c>
      <c r="H54" s="17"/>
      <c r="I54" s="17"/>
      <c r="J54" s="15"/>
      <c r="K54" s="9" t="s">
        <v>172</v>
      </c>
      <c r="L54" s="9" t="s">
        <v>173</v>
      </c>
    </row>
    <row r="55" customFormat="false" ht="28.5" hidden="false" customHeight="true" outlineLevel="0" collapsed="false">
      <c r="A55" s="9" t="s">
        <v>174</v>
      </c>
      <c r="B55" s="9" t="s">
        <v>175</v>
      </c>
      <c r="C55" s="10" t="n">
        <v>1</v>
      </c>
      <c r="D55" s="11" t="n">
        <v>22</v>
      </c>
      <c r="E55" s="12" t="n">
        <f aca="false">C55*D55</f>
        <v>22</v>
      </c>
      <c r="F55" s="25" t="s">
        <v>170</v>
      </c>
      <c r="G55" s="9" t="s">
        <v>176</v>
      </c>
      <c r="H55" s="17"/>
      <c r="I55" s="17"/>
      <c r="J55" s="15"/>
      <c r="K55" s="9" t="s">
        <v>177</v>
      </c>
      <c r="L55" s="9" t="s">
        <v>178</v>
      </c>
    </row>
    <row r="56" customFormat="false" ht="15.75" hidden="false" customHeight="true" outlineLevel="0" collapsed="false">
      <c r="A56" s="9" t="s">
        <v>179</v>
      </c>
      <c r="B56" s="9" t="s">
        <v>18</v>
      </c>
      <c r="C56" s="10" t="n">
        <v>1</v>
      </c>
      <c r="D56" s="11" t="n">
        <v>3</v>
      </c>
      <c r="E56" s="12" t="n">
        <f aca="false">C56*D56</f>
        <v>3</v>
      </c>
      <c r="F56" s="25" t="s">
        <v>170</v>
      </c>
      <c r="G56" s="9" t="s">
        <v>180</v>
      </c>
      <c r="H56" s="17"/>
      <c r="I56" s="17"/>
      <c r="J56" s="15"/>
      <c r="K56" s="9" t="s">
        <v>181</v>
      </c>
      <c r="L56" s="9" t="s">
        <v>182</v>
      </c>
    </row>
    <row r="57" customFormat="false" ht="15" hidden="false" customHeight="false" outlineLevel="0" collapsed="false">
      <c r="A57" s="18" t="s">
        <v>183</v>
      </c>
      <c r="B57" s="19"/>
      <c r="C57" s="19"/>
      <c r="D57" s="19"/>
      <c r="E57" s="20" t="n">
        <f aca="false">SUM(E54:E56)</f>
        <v>30</v>
      </c>
      <c r="F57" s="19"/>
      <c r="G57" s="19"/>
      <c r="H57" s="19"/>
      <c r="I57" s="19"/>
      <c r="J57" s="19"/>
      <c r="K57" s="19"/>
      <c r="L57" s="19"/>
    </row>
    <row r="58" customFormat="false" ht="15" hidden="false" customHeight="false" outlineLevel="0" collapsed="false">
      <c r="A58" s="3" t="s">
        <v>184</v>
      </c>
      <c r="E58" s="6" t="n">
        <f aca="false">E41+E57</f>
        <v>221</v>
      </c>
    </row>
    <row r="60" customFormat="false" ht="15" hidden="false" customHeight="false" outlineLevel="0" collapsed="false">
      <c r="A60" s="8" t="s">
        <v>185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customFormat="false" ht="15" hidden="false" customHeight="true" outlineLevel="0" collapsed="false">
      <c r="A61" s="26" t="s">
        <v>186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</row>
    <row r="62" customFormat="false" ht="15" hidden="false" customHeight="true" outlineLevel="0" collapsed="false">
      <c r="A62" s="26" t="s">
        <v>187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</row>
    <row r="63" customFormat="false" ht="15" hidden="false" customHeight="true" outlineLevel="0" collapsed="false">
      <c r="A63" s="26" t="s">
        <v>188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5" customFormat="false" ht="15" hidden="false" customHeight="false" outlineLevel="0" collapsed="false">
      <c r="A65" s="8" t="s">
        <v>189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customFormat="false" ht="15" hidden="false" customHeight="true" outlineLevel="0" collapsed="false">
      <c r="A66" s="27" t="s">
        <v>190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</row>
    <row r="67" customFormat="false" ht="15" hidden="false" customHeight="true" outlineLevel="0" collapsed="false">
      <c r="A67" s="27" t="s">
        <v>191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</row>
    <row r="68" customFormat="false" ht="15" hidden="false" customHeight="true" outlineLevel="0" collapsed="false">
      <c r="A68" s="27" t="s">
        <v>192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</row>
    <row r="69" customFormat="false" ht="15" hidden="false" customHeight="true" outlineLevel="0" collapsed="false">
      <c r="A69" s="27" t="s">
        <v>193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customFormat="false" ht="15" hidden="false" customHeight="true" outlineLevel="0" collapsed="false">
      <c r="A70" s="27" t="s">
        <v>194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</row>
    <row r="71" customFormat="false" ht="15" hidden="false" customHeight="true" outlineLevel="0" collapsed="false">
      <c r="A71" s="27" t="s">
        <v>195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</row>
  </sheetData>
  <mergeCells count="9">
    <mergeCell ref="A61:L61"/>
    <mergeCell ref="A62:L62"/>
    <mergeCell ref="A63:L63"/>
    <mergeCell ref="A66:L66"/>
    <mergeCell ref="A67:L67"/>
    <mergeCell ref="A68:L68"/>
    <mergeCell ref="A69:L69"/>
    <mergeCell ref="A70:L70"/>
    <mergeCell ref="A71:L71"/>
  </mergeCells>
  <conditionalFormatting sqref="F3">
    <cfRule type="expression" priority="2" aboveAverage="0" equalAverage="0" bottom="0" percent="0" rank="0" text="" dxfId="0">
      <formula>$E$3&lt;=$B$3</formula>
    </cfRule>
    <cfRule type="expression" priority="3" aboveAverage="0" equalAverage="0" bottom="0" percent="0" rank="0" text="" dxfId="1">
      <formula>$E$3&gt;$B$3</formula>
    </cfRule>
  </conditionalFormatting>
  <hyperlinks>
    <hyperlink ref="H7" r:id="rId1" display="AliExpress – DAZ's link"/>
    <hyperlink ref="I7" r:id="rId2" display="AliExpress search: MKS XDrive Mini"/>
    <hyperlink ref="H9" r:id="rId3" display="AliExpress – DAZ's link"/>
    <hyperlink ref="I9" r:id="rId4" display="AliExpress search: E6B2-CWZ6C"/>
    <hyperlink ref="H10" r:id="rId5" display="AliExpress – DAZ's link"/>
    <hyperlink ref="I10" r:id="rId6" display="AliExpress search: 13&quot; flat wheel"/>
    <hyperlink ref="H11" r:id="rId7" display="AliExpress search: GT2 20T 6 mm bore"/>
    <hyperlink ref="I11" r:id="rId8" display="AliExpress – DAZ's link"/>
    <hyperlink ref="H12" r:id="rId9" display="AliExpress search: GT2 belt 212 mm"/>
    <hyperlink ref="I12" r:id="rId10" display="AliExpress – DAZ's link"/>
    <hyperlink ref="H13" r:id="rId11" display="AliExpress search: GT2 idler 20T 5 mm"/>
    <hyperlink ref="I13" r:id="rId12" display="AliExpress – DAZ's link"/>
    <hyperlink ref="H14" r:id="rId13" display="AliExpress search: 24V 10A power supply"/>
    <hyperlink ref="I14" r:id="rId14" display="AliExpress – DAZ's link"/>
    <hyperlink ref="H15" r:id="rId15" display="AliExpress search: XT60 pair"/>
    <hyperlink ref="I15" r:id="rId16" display="AliExpress – DAZ's link"/>
    <hyperlink ref="H16" r:id="rId17" display="AliExpress – DAZ's link"/>
    <hyperlink ref="I16" r:id="rId18" display="AliExpress search: 16 mm cross clamp"/>
    <hyperlink ref="H17" r:id="rId19" display="AliExpress – DAZ's link"/>
    <hyperlink ref="I17" r:id="rId20" display="Bunnings: Metal Mate 16 mm × 1 m tube (local)"/>
    <hyperlink ref="H18" r:id="rId21" display="AliExpress – DAZ's link"/>
    <hyperlink ref="I18" r:id="rId22" display="AliExpress search: Arca-Swiss clamp"/>
    <hyperlink ref="H19" r:id="rId23" display="AliExpress – DAZ's link"/>
    <hyperlink ref="I19" r:id="rId24" display="AliExpress search: Arca plate 100 mm"/>
    <hyperlink ref="H23" r:id="rId25" display="AliExpress search: M5 nut"/>
    <hyperlink ref="I23" r:id="rId26" display="AliExpress – DAZ's link"/>
    <hyperlink ref="H24" r:id="rId27" display="AliExpress search: M5 washer"/>
    <hyperlink ref="H25" r:id="rId28" display="AliExpress search: M5x20 socket head"/>
    <hyperlink ref="I25" r:id="rId29" display="AliExpress – DAZ's link"/>
    <hyperlink ref="H26" r:id="rId30" display="AliExpress search: M5x25 socket head"/>
    <hyperlink ref="I26" r:id="rId31" display="AliExpress – DAZ's link"/>
    <hyperlink ref="H27" r:id="rId32" display="AliExpress search: M5x40 socket head"/>
    <hyperlink ref="I27" r:id="rId33" display="AliExpress – DAZ's link"/>
    <hyperlink ref="H28" r:id="rId34" display="AliExpress search: M3x10 socket head"/>
    <hyperlink ref="I28" r:id="rId35" display="AliExpress – DAZ's link"/>
    <hyperlink ref="H29" r:id="rId36" display="AliExpress search: M3x12 self-tapping"/>
    <hyperlink ref="I29" r:id="rId37" display="AliExpress – DAZ's link"/>
    <hyperlink ref="H30" r:id="rId38" display="AliExpress search: M2.5x6 self-tapping"/>
    <hyperlink ref="I30" r:id="rId39" display="AliExpress – DAZ's link"/>
    <hyperlink ref="H31" r:id="rId40" display="AliExpress search: M6 nut"/>
    <hyperlink ref="I31" r:id="rId41" display="AliExpress – DAZ's link"/>
    <hyperlink ref="H32" r:id="rId42" display="AliExpress search: M6x30 countersunk"/>
    <hyperlink ref="I32" r:id="rId43" display="AliExpress – DAZ's link"/>
    <hyperlink ref="H33" r:id="rId44" display="AliExpress search: M6x45 countersunk"/>
    <hyperlink ref="I33" r:id="rId45" display="AliExpress – DAZ's link"/>
    <hyperlink ref="H34" r:id="rId46" display="Bunnings search: 3 mm nails"/>
    <hyperlink ref="H38" r:id="rId47" display="AliExpress search: 2.2k resistors"/>
    <hyperlink ref="I38" r:id="rId48" display="AliExpress search: resistor kit"/>
    <hyperlink ref="H44" r:id="rId49" display="AliExpress – DAZ's link"/>
    <hyperlink ref="I44" r:id="rId50" display="AliExpress search: wireless zero-delay encoder"/>
    <hyperlink ref="H45" r:id="rId51" display="AliExpress – DAZ's link"/>
    <hyperlink ref="I45" r:id="rId52" display="AliExpress search: 16 mm push button"/>
    <hyperlink ref="H46" r:id="rId53" display="AliExpress – DAZ's link"/>
    <hyperlink ref="I46" r:id="rId54" display="AliExpress search: 30×10×4 magnets"/>
    <hyperlink ref="H47" r:id="rId55" display="AliExpress – DAZ's link"/>
    <hyperlink ref="I47" r:id="rId56" display="AliExpress search: 2 × AA holder"/>
    <hyperlink ref="H48" r:id="rId57" display="AliExpress – DAZ's link"/>
    <hyperlink ref="I48" r:id="rId58" display="AliExpress search: KW11-3Z roller swit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2026-10-03T07:41:51Z</dcterms:created>
  <dc:creator>openpyxl</dc:creator>
  <dc:description/>
  <dc:language>en-US</dc:language>
  <cp:lastModifiedBy/>
  <dcterms:modified xsi:type="dcterms:W3CDTF">2026-10-03T07:41:51Z</dcterms:modified>
  <cp:revision>0</cp:revision>
  <dc:subject>Parts list in AUD</dc:subject>
  <dc:title>DAZ Racing V2 Steering Wheel – budget parts list (AUD)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