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parts list" sheetId="1" state="visible" r:id="rId3"/>
  </sheets>
  <definedNames>
    <definedName function="false" hidden="false" localSheetId="0" name="_xlnm.Print_Titles" vbProcedure="false">'Budget 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<sst xmlns="http://schemas.openxmlformats.org/spreadsheetml/2006/main" count="222" uniqueCount="110">
  <si>
    <t xml:space="preserve">DAZ Projects Shifter V2 (H-pattern + sequential) – budget parts list (AUD)</t>
  </si>
  <si>
    <t xml:space="preserve">Budget version of DAZ's parts list, re-priced for Australia. Prices are estimates in AUD incl. 10% GST, checked 2 Oct 2026 – AliExpress prices change daily, so edit the blue cells and everything re-totals.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</si>
  <si>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</si>
  <si>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</si>
  <si>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</si>
  <si>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</si>
  <si>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</si>
  <si>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</si>
  <si>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</si>
  <si>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</si>
  <si>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</si>
  <si>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Link</t>
  </si>
  <si>
    <t xml:space="preserve">Notes</t>
  </si>
  <si>
    <t xml:space="preserve">Price basis</t>
  </si>
  <si>
    <t xml:space="preserve">1. PARTS TO BUY</t>
  </si>
  <si>
    <t xml:space="preserve">M8 threaded rod, 200 mm (gear lever)</t>
  </si>
  <si>
    <t xml:space="preserve">1</t>
  </si>
  <si>
    <t xml:space="preserve">Kept</t>
  </si>
  <si>
    <t xml:space="preserve">AliExpress (or Bunnings)</t>
  </si>
  <si>
    <t xml:space="preserve">AliExpress – DAZ's link</t>
  </si>
  <si>
    <t xml:space="preserve">Or buy a 1 m zinc rod at Bunnings and cut it – one rod also covers the 70 mm piece the pedal set needs.</t>
  </si>
  <si>
    <t xml:space="preserve">Typical 200 mm stainless M8 rod US$1.50–2.50.</t>
  </si>
  <si>
    <t xml:space="preserve">Arduino Pro Micro (ATmega32U4, 5 V / 16 MHz), USB-C</t>
  </si>
  <si>
    <t xml:space="preserve">AliExpress</t>
  </si>
  <si>
    <t xml:space="preserve">Choose the USB-C version. DAZ's FAQ says his pedals and shifter can run off one Arduino Leonardo – if his V2 guide supports that, skip this board and save ≈ AUD 7.</t>
  </si>
  <si>
    <t xml:space="preserve">Typical listing US$3.50–5 ≈ AUD 5.50–8 incl. GST.</t>
  </si>
  <si>
    <t xml:space="preserve">MGN12H linear rail, 100 mm, with H block</t>
  </si>
  <si>
    <t xml:space="preserve">Must be the long MGN12H block, not MGN12C (DAZ's warning).</t>
  </si>
  <si>
    <t xml:space="preserve">2026 listings ≈ US$4–6 for 100 mm with block.</t>
  </si>
  <si>
    <t xml:space="preserve">M8 female ball joint (rod end), right-hand thread</t>
  </si>
  <si>
    <t xml:space="preserve">Typical listing US$2–3.</t>
  </si>
  <si>
    <t xml:space="preserve">M8 male ball joint</t>
  </si>
  <si>
    <t xml:space="preserve">Compression springs, 1.2 mm wire × 9 mm OD × 30 mm</t>
  </si>
  <si>
    <t xml:space="preserve">4</t>
  </si>
  <si>
    <t xml:space="preserve">Kept – smallest pack</t>
  </si>
  <si>
    <t xml:space="preserve">Buy the smallest pack that has this size.</t>
  </si>
  <si>
    <t xml:space="preserve">Small pack ≈ US$2–3.</t>
  </si>
  <si>
    <t xml:space="preserve">Limit switches with roller lever, 10-pack</t>
  </si>
  <si>
    <t xml:space="preserve">5</t>
  </si>
  <si>
    <t xml:space="preserve">Kept – one pack can cover both builds</t>
  </si>
  <si>
    <t xml:space="preserve">A 10-pack leaves 5 spare – enough for the wheel's paddles if you add them later (check it's the same switch size).</t>
  </si>
  <si>
    <t xml:space="preserve">Same kind of pack as the wheel's switches: US$3.57 per 10 (May 2025) ≈ AUD 5.70.</t>
  </si>
  <si>
    <t xml:space="preserve">Bearings 6 × 12 × 4 mm (MR126ZZ), 10-pack</t>
  </si>
  <si>
    <t xml:space="preserve">7</t>
  </si>
  <si>
    <t xml:space="preserve">Cheaper – chrome steel instead of stainless</t>
  </si>
  <si>
    <t xml:space="preserve">AliExpress search: MR126ZZ</t>
  </si>
  <si>
    <t xml:space="preserve">DAZ linked stainless SMR126-2RS. Plain chrome-steel MR126ZZ is the same size and plenty for a shifter.</t>
  </si>
  <si>
    <t xml:space="preserve">MR126ZZ 10-packs ≈ US$2–3; stainless SMR126 ≈ US$4–6.</t>
  </si>
  <si>
    <t xml:space="preserve">Bearings 8 × 22 × 7 mm (608ZZ skateboard bearings)</t>
  </si>
  <si>
    <t xml:space="preserve">2</t>
  </si>
  <si>
    <t xml:space="preserve">Kept – or free</t>
  </si>
  <si>
    <t xml:space="preserve">Standard skateboard bearings – two from an old skateboard, scooter or fidget spinner make this free.</t>
  </si>
  <si>
    <t xml:space="preserve">608ZZ 10-pack ≈ US$2–2.50.</t>
  </si>
  <si>
    <t xml:space="preserve">Subtotal – parts</t>
  </si>
  <si>
    <t xml:space="preserve">2. NUTS &amp; BOLTS (DAZ's list – buy single sizes)</t>
  </si>
  <si>
    <t xml:space="preserve">M2.5 × 12 self-tapping screws (or M2.2 × 13)</t>
  </si>
  <si>
    <t xml:space="preserve">Kept – single sizes, not sets</t>
  </si>
  <si>
    <t xml:space="preserve">DAZ links general screw listings – on each one choose the exact size and the smallest quantity instead of a mixed set. Bunnings has the M6/M8 ones if you'd rather not wait.</t>
  </si>
  <si>
    <t xml:space="preserve">Small AliExpress pack ≈ AUD 1–2.50.</t>
  </si>
  <si>
    <t xml:space="preserve">M3 × 16 self-tapping screws (or M2.9 × 16)</t>
  </si>
  <si>
    <t xml:space="preserve">M3 × 8 countersunk screws</t>
  </si>
  <si>
    <t xml:space="preserve">M4 × 16 socket head screws</t>
  </si>
  <si>
    <t xml:space="preserve">3</t>
  </si>
  <si>
    <t xml:space="preserve">M4 × 20 socket head screws</t>
  </si>
  <si>
    <t xml:space="preserve">M5 × 12 socket head screws</t>
  </si>
  <si>
    <t xml:space="preserve">M5 × 20 socket head screws</t>
  </si>
  <si>
    <t xml:space="preserve">M5 × 30 socket head screws</t>
  </si>
  <si>
    <t xml:space="preserve">M5 × 40 socket head screws</t>
  </si>
  <si>
    <t xml:space="preserve">M6 × 20 button head screws (or M6 × 18)</t>
  </si>
  <si>
    <t xml:space="preserve">M6 × 35 button head screws</t>
  </si>
  <si>
    <t xml:space="preserve">M8 × 25 button head screw</t>
  </si>
  <si>
    <t xml:space="preserve">M8 × 50 hex head bolt</t>
  </si>
  <si>
    <t xml:space="preserve">M4 nuts</t>
  </si>
  <si>
    <t xml:space="preserve">M5 nuts</t>
  </si>
  <si>
    <t xml:space="preserve">M6 nut</t>
  </si>
  <si>
    <t xml:space="preserve">M8 nuts</t>
  </si>
  <si>
    <t xml:space="preserve">M8 washer</t>
  </si>
  <si>
    <t xml:space="preserve">AliExpress search: M8 washer</t>
  </si>
  <si>
    <t xml:space="preserve">Subtotal – nuts &amp; bolts</t>
  </si>
  <si>
    <t xml:space="preserve">TOTAL – counts toward the AUD budget</t>
  </si>
  <si>
    <t xml:space="preserve">3. NOT COUNTED – things you may already have</t>
  </si>
  <si>
    <t xml:space="preserve">PLA+ filament for the printed parts (≈0.5 kg – see DAZ's guide)</t>
  </si>
  <si>
    <t xml:space="preserve">≈0.5 kg</t>
  </si>
  <si>
    <t xml:space="preserve">Not counted</t>
  </si>
  <si>
    <t xml:space="preserve">AliExpress / Amazon AU</t>
  </si>
  <si>
    <t xml:space="preserve">DAZ's lists don't include filament. Budget PLA+ is about AUD 18–25 per kg on sale.</t>
  </si>
  <si>
    <t xml:space="preserve">Half of a budget 1 kg roll.</t>
  </si>
  <si>
    <t xml:space="preserve">USB-C data cable</t>
  </si>
  <si>
    <t xml:space="preserve">Kmart / AliExpress</t>
  </si>
  <si>
    <t xml:space="preserve">Connects the Pro Micro to the PC.</t>
  </si>
  <si>
    <t xml:space="preserve">Typical price.</t>
  </si>
  <si>
    <t xml:space="preserve">Hook-up wire, solder, heat-shrink</t>
  </si>
  <si>
    <t xml:space="preserve">–</t>
  </si>
  <si>
    <t xml:space="preserve">Jaycar / AliExpress</t>
  </si>
  <si>
    <t xml:space="preserve">For wiring the switches.</t>
  </si>
  <si>
    <t xml:space="preserve">Typical small-pack prices.</t>
  </si>
  <si>
    <t xml:space="preserve">If you need to buy these too</t>
  </si>
  <si>
    <t xml:space="preserve">All-in total including section 3</t>
  </si>
  <si>
    <t xml:space="preserve">WAYS TO SAVE EVEN MORE</t>
  </si>
  <si>
    <t xml:space="preserve">• Nothing had to be removed – every part is needed and already cheap. The savings come from cheaper bearing variants and buying single screw sizes instead of DAZ's suggested assortment sets.</t>
  </si>
  <si>
    <t xml:space="preserve">• Take two 608 bearings out of an old skateboard or scooter: −AUD 3.50.</t>
  </si>
  <si>
    <t xml:space="preserve">• If DAZ's V2 guide lets the pedals' Leonardo run the shifter too (his FAQ says one Leonardo can do both), skip the Pro Micro: −AUD 7.</t>
  </si>
  <si>
    <t xml:space="preserve">• One 1 m M8 threaded rod from Bunnings covers this lever and the pedal set's 70 mm piece.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</si>
  <si>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</si>
  <si>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</si>
  <si>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 used to convert reference prices: 1 USD = 1.4425 AUD, 1 EUR = 1.6249 AUD (ExchangeRate-API, open.er-api.com, updated 2 Oct 2026). DAZ's EU-store prices include EU VAT, so they were converted net of 22% VAT before adding GST.</t>
  </si>
  <si>
    <t xml:space="preserve">• Price basis: DAZ's own AliExpress links carry the price from when he made them (mostly May 2025) – quoted where available. Other estimates come from typical AliExpress listings seen in 2026.</t>
  </si>
  <si>
    <t xml:space="preserve">• Shipping: most small AliExpress items ship free to Australia once the order passes the free-shipping threshold; bulky items can add a few dollars. AliExpress's 11.11 sale (11 November) usually brings bigger discounts.</t>
  </si>
  <si>
    <t xml:space="preserve">• Links: 'AliExpress – DAZ's link' entries are DAZ's own (affiliate) links from his original list, so buying through them still supports him; they show AUD prices for Australian accounts. Links labelled 'search' are plain searches.</t>
  </si>
  <si>
    <t xml:space="preserve">• Based on DAZ Projects' Shifter V2 parts list. Printing, wiring and Arduino code per DAZ's guide.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</si>
</sst>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c4DbSC0d" TargetMode="External"/><Relationship Id="rId2" Type="http://schemas.openxmlformats.org/officeDocument/2006/relationships/hyperlink" Target="https://s.click.aliexpress.com/e/_c3Fjl1H7" TargetMode="External"/><Relationship Id="rId3" Type="http://schemas.openxmlformats.org/officeDocument/2006/relationships/hyperlink" Target="https://s.click.aliexpress.com/e/_c3oJ2Bt3" TargetMode="External"/><Relationship Id="rId4" Type="http://schemas.openxmlformats.org/officeDocument/2006/relationships/hyperlink" Target="https://s.click.aliexpress.com/e/_c4azI7jR" TargetMode="External"/><Relationship Id="rId5" Type="http://schemas.openxmlformats.org/officeDocument/2006/relationships/hyperlink" Target="https://s.click.aliexpress.com/e/_c4CvMnYp" TargetMode="External"/><Relationship Id="rId6" Type="http://schemas.openxmlformats.org/officeDocument/2006/relationships/hyperlink" Target="https://s.click.aliexpress.com/e/_c3KC3hNL" TargetMode="External"/><Relationship Id="rId7" Type="http://schemas.openxmlformats.org/officeDocument/2006/relationships/hyperlink" Target="https://s.click.aliexpress.com/e/_c3tPrBcv" TargetMode="External"/><Relationship Id="rId8" Type="http://schemas.openxmlformats.org/officeDocument/2006/relationships/hyperlink" Target="https://www.aliexpress.com/w/wholesale-MR126ZZ-bearing.html" TargetMode="External"/><Relationship Id="rId9" Type="http://schemas.openxmlformats.org/officeDocument/2006/relationships/hyperlink" Target="https://s.click.aliexpress.com/e/_c40jxQxj" TargetMode="External"/><Relationship Id="rId10" Type="http://schemas.openxmlformats.org/officeDocument/2006/relationships/hyperlink" Target="https://s.click.aliexpress.com/e/_c4TpvOcH" TargetMode="External"/><Relationship Id="rId11" Type="http://schemas.openxmlformats.org/officeDocument/2006/relationships/hyperlink" Target="https://s.click.aliexpress.com/e/_c4TpvOcH" TargetMode="External"/><Relationship Id="rId12" Type="http://schemas.openxmlformats.org/officeDocument/2006/relationships/hyperlink" Target="https://s.click.aliexpress.com/e/_c3c2tuQh" TargetMode="External"/><Relationship Id="rId13" Type="http://schemas.openxmlformats.org/officeDocument/2006/relationships/hyperlink" Target="https://s.click.aliexpress.com/e/_c4F4mPuh" TargetMode="External"/><Relationship Id="rId14" Type="http://schemas.openxmlformats.org/officeDocument/2006/relationships/hyperlink" Target="https://s.click.aliexpress.com/e/_c4F4mPuh" TargetMode="External"/><Relationship Id="rId15" Type="http://schemas.openxmlformats.org/officeDocument/2006/relationships/hyperlink" Target="https://s.click.aliexpress.com/e/_c4F4mPuh" TargetMode="External"/><Relationship Id="rId16" Type="http://schemas.openxmlformats.org/officeDocument/2006/relationships/hyperlink" Target="https://s.click.aliexpress.com/e/_c4F4mPuh" TargetMode="External"/><Relationship Id="rId17" Type="http://schemas.openxmlformats.org/officeDocument/2006/relationships/hyperlink" Target="https://s.click.aliexpress.com/e/_c4F4mPuh" TargetMode="External"/><Relationship Id="rId18" Type="http://schemas.openxmlformats.org/officeDocument/2006/relationships/hyperlink" Target="https://s.click.aliexpress.com/e/_c4F4mPuh" TargetMode="External"/><Relationship Id="rId19" Type="http://schemas.openxmlformats.org/officeDocument/2006/relationships/hyperlink" Target="https://s.click.aliexpress.com/e/_c4lGmb8D" TargetMode="External"/><Relationship Id="rId20" Type="http://schemas.openxmlformats.org/officeDocument/2006/relationships/hyperlink" Target="https://s.click.aliexpress.com/e/_c4lGmb8D" TargetMode="External"/><Relationship Id="rId21" Type="http://schemas.openxmlformats.org/officeDocument/2006/relationships/hyperlink" Target="https://s.click.aliexpress.com/e/_c4lGmb8D" TargetMode="External"/><Relationship Id="rId22" Type="http://schemas.openxmlformats.org/officeDocument/2006/relationships/hyperlink" Target="https://s.click.aliexpress.com/e/_c3wUiJZ3" TargetMode="External"/><Relationship Id="rId23" Type="http://schemas.openxmlformats.org/officeDocument/2006/relationships/hyperlink" Target="https://s.click.aliexpress.com/e/_c4CPm5kp" TargetMode="External"/><Relationship Id="rId24" Type="http://schemas.openxmlformats.org/officeDocument/2006/relationships/hyperlink" Target="https://s.click.aliexpress.com/e/_c4CPm5kp" TargetMode="External"/><Relationship Id="rId25" Type="http://schemas.openxmlformats.org/officeDocument/2006/relationships/hyperlink" Target="https://s.click.aliexpress.com/e/_c4CPm5kp" TargetMode="External"/><Relationship Id="rId26" Type="http://schemas.openxmlformats.org/officeDocument/2006/relationships/hyperlink" Target="https://s.click.aliexpress.com/e/_c4CPm5kp" TargetMode="External"/><Relationship Id="rId27" Type="http://schemas.openxmlformats.org/officeDocument/2006/relationships/hyperlink" Target="https://www.aliexpress.com/w/wholesale-M8-flat-washer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1"/>
    <col collapsed="false" customWidth="true" hidden="false" outlineLevel="0" max="6" min="6" style="0" width="24"/>
    <col collapsed="false" customWidth="true" hidden="false" outlineLevel="0" max="7" min="7" style="0" width="20"/>
    <col collapsed="false" customWidth="true" hidden="false" outlineLevel="0" max="8" min="8" style="0" width="31"/>
    <col collapsed="false" customWidth="true" hidden="false" outlineLevel="0" max="9" min="9" style="0" width="62"/>
    <col collapsed="false" customWidth="true" hidden="false" outlineLevel="0" max="10" min="10" style="0" width="46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E39</f>
        <v>69.5</v>
      </c>
      <c r="F3" s="3" t="str">
        <f aca="false">IF(E3&lt;=B3,"UNDER BUDGET – $"&amp;TEXT(B3-E3,"0.00")&amp;" spare","OVER BUDGET by $"&amp;TEXT(E3-B3,"0.00"))</f>
        <v>UNDER BUDGET – $130.50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</row>
    <row r="6" customFormat="false" ht="15" hidden="false" customHeight="false" outlineLevel="0" collapsed="false">
      <c r="A6" s="8" t="s">
        <v>14</v>
      </c>
      <c r="B6" s="8"/>
      <c r="C6" s="8"/>
      <c r="D6" s="8"/>
      <c r="E6" s="8"/>
      <c r="F6" s="8"/>
      <c r="G6" s="8"/>
      <c r="H6" s="8"/>
      <c r="I6" s="8"/>
      <c r="J6" s="8"/>
    </row>
    <row r="7" customFormat="false" ht="28.5" hidden="false" customHeight="true" outlineLevel="0" collapsed="false">
      <c r="A7" s="9" t="s">
        <v>15</v>
      </c>
      <c r="B7" s="9" t="s">
        <v>16</v>
      </c>
      <c r="C7" s="10" t="n">
        <v>1</v>
      </c>
      <c r="D7" s="11" t="n">
        <v>3</v>
      </c>
      <c r="E7" s="12" t="n">
        <f aca="false">C7*D7</f>
        <v>3</v>
      </c>
      <c r="F7" s="13" t="s">
        <v>17</v>
      </c>
      <c r="G7" s="9" t="s">
        <v>18</v>
      </c>
      <c r="H7" s="14" t="s">
        <v>19</v>
      </c>
      <c r="I7" s="9" t="s">
        <v>20</v>
      </c>
      <c r="J7" s="9" t="s">
        <v>21</v>
      </c>
    </row>
    <row r="8" customFormat="false" ht="28.5" hidden="false" customHeight="true" outlineLevel="0" collapsed="false">
      <c r="A8" s="9" t="s">
        <v>22</v>
      </c>
      <c r="B8" s="9" t="s">
        <v>16</v>
      </c>
      <c r="C8" s="10" t="n">
        <v>1</v>
      </c>
      <c r="D8" s="11" t="n">
        <v>7</v>
      </c>
      <c r="E8" s="12" t="n">
        <f aca="false">C8*D8</f>
        <v>7</v>
      </c>
      <c r="F8" s="13" t="s">
        <v>17</v>
      </c>
      <c r="G8" s="9" t="s">
        <v>23</v>
      </c>
      <c r="H8" s="14" t="s">
        <v>19</v>
      </c>
      <c r="I8" s="9" t="s">
        <v>24</v>
      </c>
      <c r="J8" s="9" t="s">
        <v>25</v>
      </c>
    </row>
    <row r="9" customFormat="false" ht="15.75" hidden="false" customHeight="true" outlineLevel="0" collapsed="false">
      <c r="A9" s="9" t="s">
        <v>26</v>
      </c>
      <c r="B9" s="9" t="s">
        <v>16</v>
      </c>
      <c r="C9" s="10" t="n">
        <v>1</v>
      </c>
      <c r="D9" s="11" t="n">
        <v>10</v>
      </c>
      <c r="E9" s="12" t="n">
        <f aca="false">C9*D9</f>
        <v>10</v>
      </c>
      <c r="F9" s="13" t="s">
        <v>17</v>
      </c>
      <c r="G9" s="9" t="s">
        <v>23</v>
      </c>
      <c r="H9" s="14" t="s">
        <v>19</v>
      </c>
      <c r="I9" s="9" t="s">
        <v>27</v>
      </c>
      <c r="J9" s="9" t="s">
        <v>28</v>
      </c>
    </row>
    <row r="10" customFormat="false" ht="15.75" hidden="false" customHeight="true" outlineLevel="0" collapsed="false">
      <c r="A10" s="9" t="s">
        <v>29</v>
      </c>
      <c r="B10" s="9" t="s">
        <v>16</v>
      </c>
      <c r="C10" s="10" t="n">
        <v>1</v>
      </c>
      <c r="D10" s="11" t="n">
        <v>4</v>
      </c>
      <c r="E10" s="12" t="n">
        <f aca="false">C10*D10</f>
        <v>4</v>
      </c>
      <c r="F10" s="13" t="s">
        <v>17</v>
      </c>
      <c r="G10" s="9" t="s">
        <v>23</v>
      </c>
      <c r="H10" s="14" t="s">
        <v>19</v>
      </c>
      <c r="I10" s="9"/>
      <c r="J10" s="9" t="s">
        <v>30</v>
      </c>
    </row>
    <row r="11" customFormat="false" ht="15.75" hidden="false" customHeight="true" outlineLevel="0" collapsed="false">
      <c r="A11" s="9" t="s">
        <v>31</v>
      </c>
      <c r="B11" s="9" t="s">
        <v>16</v>
      </c>
      <c r="C11" s="10" t="n">
        <v>1</v>
      </c>
      <c r="D11" s="11" t="n">
        <v>4</v>
      </c>
      <c r="E11" s="12" t="n">
        <f aca="false">C11*D11</f>
        <v>4</v>
      </c>
      <c r="F11" s="13" t="s">
        <v>17</v>
      </c>
      <c r="G11" s="9" t="s">
        <v>23</v>
      </c>
      <c r="H11" s="14" t="s">
        <v>19</v>
      </c>
      <c r="I11" s="9"/>
      <c r="J11" s="9" t="s">
        <v>30</v>
      </c>
    </row>
    <row r="12" customFormat="false" ht="15.75" hidden="false" customHeight="true" outlineLevel="0" collapsed="false">
      <c r="A12" s="9" t="s">
        <v>32</v>
      </c>
      <c r="B12" s="9" t="s">
        <v>33</v>
      </c>
      <c r="C12" s="10" t="n">
        <v>1</v>
      </c>
      <c r="D12" s="11" t="n">
        <v>4</v>
      </c>
      <c r="E12" s="12" t="n">
        <f aca="false">C12*D12</f>
        <v>4</v>
      </c>
      <c r="F12" s="13" t="s">
        <v>34</v>
      </c>
      <c r="G12" s="9" t="s">
        <v>23</v>
      </c>
      <c r="H12" s="14" t="s">
        <v>19</v>
      </c>
      <c r="I12" s="9" t="s">
        <v>35</v>
      </c>
      <c r="J12" s="9" t="s">
        <v>36</v>
      </c>
    </row>
    <row r="13" customFormat="false" ht="28.5" hidden="false" customHeight="true" outlineLevel="0" collapsed="false">
      <c r="A13" s="9" t="s">
        <v>37</v>
      </c>
      <c r="B13" s="9" t="s">
        <v>38</v>
      </c>
      <c r="C13" s="10" t="n">
        <v>1</v>
      </c>
      <c r="D13" s="11" t="n">
        <v>5.5</v>
      </c>
      <c r="E13" s="12" t="n">
        <f aca="false">C13*D13</f>
        <v>5.5</v>
      </c>
      <c r="F13" s="13" t="s">
        <v>39</v>
      </c>
      <c r="G13" s="9" t="s">
        <v>23</v>
      </c>
      <c r="H13" s="14" t="s">
        <v>19</v>
      </c>
      <c r="I13" s="9" t="s">
        <v>40</v>
      </c>
      <c r="J13" s="9" t="s">
        <v>41</v>
      </c>
    </row>
    <row r="14" customFormat="false" ht="28.5" hidden="false" customHeight="true" outlineLevel="0" collapsed="false">
      <c r="A14" s="9" t="s">
        <v>42</v>
      </c>
      <c r="B14" s="9" t="s">
        <v>43</v>
      </c>
      <c r="C14" s="10" t="n">
        <v>1</v>
      </c>
      <c r="D14" s="11" t="n">
        <v>4.5</v>
      </c>
      <c r="E14" s="12" t="n">
        <f aca="false">C14*D14</f>
        <v>4.5</v>
      </c>
      <c r="F14" s="15" t="s">
        <v>44</v>
      </c>
      <c r="G14" s="9" t="s">
        <v>23</v>
      </c>
      <c r="H14" s="14" t="s">
        <v>45</v>
      </c>
      <c r="I14" s="9" t="s">
        <v>46</v>
      </c>
      <c r="J14" s="9" t="s">
        <v>47</v>
      </c>
    </row>
    <row r="15" customFormat="false" ht="28.5" hidden="false" customHeight="true" outlineLevel="0" collapsed="false">
      <c r="A15" s="9" t="s">
        <v>48</v>
      </c>
      <c r="B15" s="9" t="s">
        <v>49</v>
      </c>
      <c r="C15" s="10" t="n">
        <v>1</v>
      </c>
      <c r="D15" s="11" t="n">
        <v>3.5</v>
      </c>
      <c r="E15" s="12" t="n">
        <f aca="false">C15*D15</f>
        <v>3.5</v>
      </c>
      <c r="F15" s="13" t="s">
        <v>50</v>
      </c>
      <c r="G15" s="9" t="s">
        <v>23</v>
      </c>
      <c r="H15" s="14" t="s">
        <v>19</v>
      </c>
      <c r="I15" s="9" t="s">
        <v>51</v>
      </c>
      <c r="J15" s="9" t="s">
        <v>52</v>
      </c>
    </row>
    <row r="16" customFormat="false" ht="15" hidden="false" customHeight="false" outlineLevel="0" collapsed="false">
      <c r="A16" s="16" t="s">
        <v>53</v>
      </c>
      <c r="B16" s="17"/>
      <c r="C16" s="17"/>
      <c r="D16" s="17"/>
      <c r="E16" s="18" t="n">
        <f aca="false">SUM(E7:E15)</f>
        <v>45.5</v>
      </c>
      <c r="F16" s="17"/>
      <c r="G16" s="17"/>
      <c r="H16" s="17"/>
      <c r="I16" s="17"/>
      <c r="J16" s="17"/>
    </row>
    <row r="18" customFormat="false" ht="15" hidden="false" customHeight="false" outlineLevel="0" collapsed="false">
      <c r="A18" s="8" t="s">
        <v>54</v>
      </c>
      <c r="B18" s="8"/>
      <c r="C18" s="8"/>
      <c r="D18" s="8"/>
      <c r="E18" s="8"/>
      <c r="F18" s="8"/>
      <c r="G18" s="8"/>
      <c r="H18" s="8"/>
      <c r="I18" s="8"/>
      <c r="J18" s="8"/>
    </row>
    <row r="19" customFormat="false" ht="28.5" hidden="false" customHeight="true" outlineLevel="0" collapsed="false">
      <c r="A19" s="9" t="s">
        <v>55</v>
      </c>
      <c r="B19" s="9" t="s">
        <v>33</v>
      </c>
      <c r="C19" s="10" t="n">
        <v>1</v>
      </c>
      <c r="D19" s="11" t="n">
        <v>1</v>
      </c>
      <c r="E19" s="12" t="n">
        <f aca="false">C19*D19</f>
        <v>1</v>
      </c>
      <c r="F19" s="13" t="s">
        <v>56</v>
      </c>
      <c r="G19" s="9" t="s">
        <v>23</v>
      </c>
      <c r="H19" s="14" t="s">
        <v>19</v>
      </c>
      <c r="I19" s="9" t="s">
        <v>57</v>
      </c>
      <c r="J19" s="9" t="s">
        <v>58</v>
      </c>
    </row>
    <row r="20" customFormat="false" ht="15.75" hidden="false" customHeight="true" outlineLevel="0" collapsed="false">
      <c r="A20" s="9" t="s">
        <v>59</v>
      </c>
      <c r="B20" s="9" t="s">
        <v>49</v>
      </c>
      <c r="C20" s="10" t="n">
        <v>1</v>
      </c>
      <c r="D20" s="11" t="n">
        <v>1</v>
      </c>
      <c r="E20" s="12" t="n">
        <f aca="false">C20*D20</f>
        <v>1</v>
      </c>
      <c r="F20" s="13" t="s">
        <v>56</v>
      </c>
      <c r="G20" s="9" t="s">
        <v>23</v>
      </c>
      <c r="H20" s="14" t="s">
        <v>19</v>
      </c>
      <c r="I20" s="9"/>
      <c r="J20" s="9" t="s">
        <v>58</v>
      </c>
    </row>
    <row r="21" customFormat="false" ht="15.75" hidden="false" customHeight="true" outlineLevel="0" collapsed="false">
      <c r="A21" s="9" t="s">
        <v>60</v>
      </c>
      <c r="B21" s="9" t="s">
        <v>33</v>
      </c>
      <c r="C21" s="10" t="n">
        <v>1</v>
      </c>
      <c r="D21" s="11" t="n">
        <v>1</v>
      </c>
      <c r="E21" s="12" t="n">
        <f aca="false">C21*D21</f>
        <v>1</v>
      </c>
      <c r="F21" s="13" t="s">
        <v>56</v>
      </c>
      <c r="G21" s="9" t="s">
        <v>23</v>
      </c>
      <c r="H21" s="14" t="s">
        <v>19</v>
      </c>
      <c r="I21" s="9"/>
      <c r="J21" s="9" t="s">
        <v>58</v>
      </c>
    </row>
    <row r="22" customFormat="false" ht="15.75" hidden="false" customHeight="true" outlineLevel="0" collapsed="false">
      <c r="A22" s="9" t="s">
        <v>61</v>
      </c>
      <c r="B22" s="9" t="s">
        <v>62</v>
      </c>
      <c r="C22" s="10" t="n">
        <v>1</v>
      </c>
      <c r="D22" s="11" t="n">
        <v>1</v>
      </c>
      <c r="E22" s="12" t="n">
        <f aca="false">C22*D22</f>
        <v>1</v>
      </c>
      <c r="F22" s="13" t="s">
        <v>56</v>
      </c>
      <c r="G22" s="9" t="s">
        <v>23</v>
      </c>
      <c r="H22" s="14" t="s">
        <v>19</v>
      </c>
      <c r="I22" s="9"/>
      <c r="J22" s="9" t="s">
        <v>58</v>
      </c>
    </row>
    <row r="23" customFormat="false" ht="15.75" hidden="false" customHeight="true" outlineLevel="0" collapsed="false">
      <c r="A23" s="9" t="s">
        <v>63</v>
      </c>
      <c r="B23" s="9" t="s">
        <v>49</v>
      </c>
      <c r="C23" s="10" t="n">
        <v>1</v>
      </c>
      <c r="D23" s="11" t="n">
        <v>1</v>
      </c>
      <c r="E23" s="12" t="n">
        <f aca="false">C23*D23</f>
        <v>1</v>
      </c>
      <c r="F23" s="13" t="s">
        <v>56</v>
      </c>
      <c r="G23" s="9" t="s">
        <v>23</v>
      </c>
      <c r="H23" s="14" t="s">
        <v>19</v>
      </c>
      <c r="I23" s="9"/>
      <c r="J23" s="9" t="s">
        <v>58</v>
      </c>
    </row>
    <row r="24" customFormat="false" ht="15.75" hidden="false" customHeight="true" outlineLevel="0" collapsed="false">
      <c r="A24" s="9" t="s">
        <v>64</v>
      </c>
      <c r="B24" s="9" t="s">
        <v>49</v>
      </c>
      <c r="C24" s="10" t="n">
        <v>1</v>
      </c>
      <c r="D24" s="11" t="n">
        <v>1.5</v>
      </c>
      <c r="E24" s="12" t="n">
        <f aca="false">C24*D24</f>
        <v>1.5</v>
      </c>
      <c r="F24" s="13" t="s">
        <v>56</v>
      </c>
      <c r="G24" s="9" t="s">
        <v>23</v>
      </c>
      <c r="H24" s="14" t="s">
        <v>19</v>
      </c>
      <c r="I24" s="9"/>
      <c r="J24" s="9" t="s">
        <v>58</v>
      </c>
    </row>
    <row r="25" customFormat="false" ht="15.75" hidden="false" customHeight="true" outlineLevel="0" collapsed="false">
      <c r="A25" s="9" t="s">
        <v>65</v>
      </c>
      <c r="B25" s="9" t="s">
        <v>49</v>
      </c>
      <c r="C25" s="10" t="n">
        <v>1</v>
      </c>
      <c r="D25" s="11" t="n">
        <v>1.5</v>
      </c>
      <c r="E25" s="12" t="n">
        <f aca="false">C25*D25</f>
        <v>1.5</v>
      </c>
      <c r="F25" s="13" t="s">
        <v>56</v>
      </c>
      <c r="G25" s="9" t="s">
        <v>23</v>
      </c>
      <c r="H25" s="14" t="s">
        <v>19</v>
      </c>
      <c r="I25" s="9"/>
      <c r="J25" s="9" t="s">
        <v>58</v>
      </c>
    </row>
    <row r="26" customFormat="false" ht="15.75" hidden="false" customHeight="true" outlineLevel="0" collapsed="false">
      <c r="A26" s="9" t="s">
        <v>66</v>
      </c>
      <c r="B26" s="9" t="s">
        <v>33</v>
      </c>
      <c r="C26" s="10" t="n">
        <v>1</v>
      </c>
      <c r="D26" s="11" t="n">
        <v>1.5</v>
      </c>
      <c r="E26" s="12" t="n">
        <f aca="false">C26*D26</f>
        <v>1.5</v>
      </c>
      <c r="F26" s="13" t="s">
        <v>56</v>
      </c>
      <c r="G26" s="9" t="s">
        <v>23</v>
      </c>
      <c r="H26" s="14" t="s">
        <v>19</v>
      </c>
      <c r="I26" s="9"/>
      <c r="J26" s="9" t="s">
        <v>58</v>
      </c>
    </row>
    <row r="27" customFormat="false" ht="15.75" hidden="false" customHeight="true" outlineLevel="0" collapsed="false">
      <c r="A27" s="9" t="s">
        <v>67</v>
      </c>
      <c r="B27" s="9" t="s">
        <v>49</v>
      </c>
      <c r="C27" s="10" t="n">
        <v>1</v>
      </c>
      <c r="D27" s="11" t="n">
        <v>1.5</v>
      </c>
      <c r="E27" s="12" t="n">
        <f aca="false">C27*D27</f>
        <v>1.5</v>
      </c>
      <c r="F27" s="13" t="s">
        <v>56</v>
      </c>
      <c r="G27" s="9" t="s">
        <v>23</v>
      </c>
      <c r="H27" s="14" t="s">
        <v>19</v>
      </c>
      <c r="I27" s="9"/>
      <c r="J27" s="9" t="s">
        <v>58</v>
      </c>
    </row>
    <row r="28" customFormat="false" ht="15.75" hidden="false" customHeight="true" outlineLevel="0" collapsed="false">
      <c r="A28" s="9" t="s">
        <v>68</v>
      </c>
      <c r="B28" s="9" t="s">
        <v>33</v>
      </c>
      <c r="C28" s="10" t="n">
        <v>1</v>
      </c>
      <c r="D28" s="11" t="n">
        <v>2</v>
      </c>
      <c r="E28" s="12" t="n">
        <f aca="false">C28*D28</f>
        <v>2</v>
      </c>
      <c r="F28" s="13" t="s">
        <v>56</v>
      </c>
      <c r="G28" s="9" t="s">
        <v>23</v>
      </c>
      <c r="H28" s="14" t="s">
        <v>19</v>
      </c>
      <c r="I28" s="9"/>
      <c r="J28" s="9" t="s">
        <v>58</v>
      </c>
    </row>
    <row r="29" customFormat="false" ht="15.75" hidden="false" customHeight="true" outlineLevel="0" collapsed="false">
      <c r="A29" s="9" t="s">
        <v>69</v>
      </c>
      <c r="B29" s="9" t="s">
        <v>49</v>
      </c>
      <c r="C29" s="10" t="n">
        <v>1</v>
      </c>
      <c r="D29" s="11" t="n">
        <v>2</v>
      </c>
      <c r="E29" s="12" t="n">
        <f aca="false">C29*D29</f>
        <v>2</v>
      </c>
      <c r="F29" s="13" t="s">
        <v>56</v>
      </c>
      <c r="G29" s="9" t="s">
        <v>23</v>
      </c>
      <c r="H29" s="14" t="s">
        <v>19</v>
      </c>
      <c r="I29" s="9"/>
      <c r="J29" s="9" t="s">
        <v>58</v>
      </c>
    </row>
    <row r="30" customFormat="false" ht="15.75" hidden="false" customHeight="true" outlineLevel="0" collapsed="false">
      <c r="A30" s="9" t="s">
        <v>70</v>
      </c>
      <c r="B30" s="9" t="s">
        <v>16</v>
      </c>
      <c r="C30" s="10" t="n">
        <v>1</v>
      </c>
      <c r="D30" s="11" t="n">
        <v>2</v>
      </c>
      <c r="E30" s="12" t="n">
        <f aca="false">C30*D30</f>
        <v>2</v>
      </c>
      <c r="F30" s="13" t="s">
        <v>56</v>
      </c>
      <c r="G30" s="9" t="s">
        <v>23</v>
      </c>
      <c r="H30" s="14" t="s">
        <v>19</v>
      </c>
      <c r="I30" s="9"/>
      <c r="J30" s="9" t="s">
        <v>58</v>
      </c>
    </row>
    <row r="31" customFormat="false" ht="15.75" hidden="false" customHeight="true" outlineLevel="0" collapsed="false">
      <c r="A31" s="9" t="s">
        <v>71</v>
      </c>
      <c r="B31" s="9" t="s">
        <v>16</v>
      </c>
      <c r="C31" s="10" t="n">
        <v>1</v>
      </c>
      <c r="D31" s="11" t="n">
        <v>2</v>
      </c>
      <c r="E31" s="12" t="n">
        <f aca="false">C31*D31</f>
        <v>2</v>
      </c>
      <c r="F31" s="13" t="s">
        <v>56</v>
      </c>
      <c r="G31" s="9" t="s">
        <v>23</v>
      </c>
      <c r="H31" s="14" t="s">
        <v>19</v>
      </c>
      <c r="I31" s="9"/>
      <c r="J31" s="9" t="s">
        <v>58</v>
      </c>
    </row>
    <row r="32" customFormat="false" ht="15.75" hidden="false" customHeight="true" outlineLevel="0" collapsed="false">
      <c r="A32" s="9" t="s">
        <v>72</v>
      </c>
      <c r="B32" s="9" t="s">
        <v>33</v>
      </c>
      <c r="C32" s="10" t="n">
        <v>1</v>
      </c>
      <c r="D32" s="11" t="n">
        <v>1</v>
      </c>
      <c r="E32" s="12" t="n">
        <f aca="false">C32*D32</f>
        <v>1</v>
      </c>
      <c r="F32" s="13" t="s">
        <v>56</v>
      </c>
      <c r="G32" s="9" t="s">
        <v>23</v>
      </c>
      <c r="H32" s="14" t="s">
        <v>19</v>
      </c>
      <c r="I32" s="9"/>
      <c r="J32" s="9" t="s">
        <v>58</v>
      </c>
    </row>
    <row r="33" customFormat="false" ht="15.75" hidden="false" customHeight="true" outlineLevel="0" collapsed="false">
      <c r="A33" s="9" t="s">
        <v>73</v>
      </c>
      <c r="B33" s="9" t="s">
        <v>49</v>
      </c>
      <c r="C33" s="10" t="n">
        <v>1</v>
      </c>
      <c r="D33" s="11" t="n">
        <v>1</v>
      </c>
      <c r="E33" s="12" t="n">
        <f aca="false">C33*D33</f>
        <v>1</v>
      </c>
      <c r="F33" s="13" t="s">
        <v>56</v>
      </c>
      <c r="G33" s="9" t="s">
        <v>23</v>
      </c>
      <c r="H33" s="14" t="s">
        <v>19</v>
      </c>
      <c r="I33" s="9"/>
      <c r="J33" s="9" t="s">
        <v>58</v>
      </c>
    </row>
    <row r="34" customFormat="false" ht="15.75" hidden="false" customHeight="true" outlineLevel="0" collapsed="false">
      <c r="A34" s="9" t="s">
        <v>74</v>
      </c>
      <c r="B34" s="9" t="s">
        <v>16</v>
      </c>
      <c r="C34" s="10" t="n">
        <v>1</v>
      </c>
      <c r="D34" s="11" t="n">
        <v>1</v>
      </c>
      <c r="E34" s="12" t="n">
        <f aca="false">C34*D34</f>
        <v>1</v>
      </c>
      <c r="F34" s="13" t="s">
        <v>56</v>
      </c>
      <c r="G34" s="9" t="s">
        <v>23</v>
      </c>
      <c r="H34" s="14" t="s">
        <v>19</v>
      </c>
      <c r="I34" s="9"/>
      <c r="J34" s="9" t="s">
        <v>58</v>
      </c>
    </row>
    <row r="35" customFormat="false" ht="15.75" hidden="false" customHeight="true" outlineLevel="0" collapsed="false">
      <c r="A35" s="9" t="s">
        <v>75</v>
      </c>
      <c r="B35" s="9" t="s">
        <v>49</v>
      </c>
      <c r="C35" s="10" t="n">
        <v>1</v>
      </c>
      <c r="D35" s="11" t="n">
        <v>1</v>
      </c>
      <c r="E35" s="12" t="n">
        <f aca="false">C35*D35</f>
        <v>1</v>
      </c>
      <c r="F35" s="13" t="s">
        <v>56</v>
      </c>
      <c r="G35" s="9" t="s">
        <v>23</v>
      </c>
      <c r="H35" s="14" t="s">
        <v>19</v>
      </c>
      <c r="I35" s="9"/>
      <c r="J35" s="9" t="s">
        <v>58</v>
      </c>
    </row>
    <row r="36" customFormat="false" ht="15.75" hidden="false" customHeight="true" outlineLevel="0" collapsed="false">
      <c r="A36" s="9" t="s">
        <v>76</v>
      </c>
      <c r="B36" s="9" t="s">
        <v>16</v>
      </c>
      <c r="C36" s="10" t="n">
        <v>1</v>
      </c>
      <c r="D36" s="11" t="n">
        <v>1</v>
      </c>
      <c r="E36" s="12" t="n">
        <f aca="false">C36*D36</f>
        <v>1</v>
      </c>
      <c r="F36" s="13" t="s">
        <v>56</v>
      </c>
      <c r="G36" s="9" t="s">
        <v>23</v>
      </c>
      <c r="H36" s="14" t="s">
        <v>77</v>
      </c>
      <c r="I36" s="9"/>
      <c r="J36" s="9" t="s">
        <v>58</v>
      </c>
    </row>
    <row r="37" customFormat="false" ht="15" hidden="false" customHeight="false" outlineLevel="0" collapsed="false">
      <c r="A37" s="16" t="s">
        <v>78</v>
      </c>
      <c r="B37" s="17"/>
      <c r="C37" s="17"/>
      <c r="D37" s="17"/>
      <c r="E37" s="18" t="n">
        <f aca="false">SUM(E19:E36)</f>
        <v>24</v>
      </c>
      <c r="F37" s="17"/>
      <c r="G37" s="17"/>
      <c r="H37" s="17"/>
      <c r="I37" s="17"/>
      <c r="J37" s="17"/>
    </row>
    <row r="39" customFormat="false" ht="18" hidden="false" customHeight="true" outlineLevel="0" collapsed="false">
      <c r="A39" s="19" t="s">
        <v>79</v>
      </c>
      <c r="B39" s="19"/>
      <c r="C39" s="19"/>
      <c r="D39" s="19"/>
      <c r="E39" s="20" t="n">
        <f aca="false">E16+E37</f>
        <v>69.5</v>
      </c>
      <c r="F39" s="19"/>
      <c r="G39" s="19"/>
      <c r="H39" s="19"/>
      <c r="I39" s="19"/>
      <c r="J39" s="19"/>
    </row>
    <row r="41" customFormat="false" ht="15" hidden="false" customHeight="false" outlineLevel="0" collapsed="false">
      <c r="A41" s="8" t="s">
        <v>80</v>
      </c>
      <c r="B41" s="8"/>
      <c r="C41" s="8"/>
      <c r="D41" s="8"/>
      <c r="E41" s="8"/>
      <c r="F41" s="8"/>
      <c r="G41" s="8"/>
      <c r="H41" s="8"/>
      <c r="I41" s="8"/>
      <c r="J41" s="8"/>
    </row>
    <row r="42" customFormat="false" ht="28.5" hidden="false" customHeight="true" outlineLevel="0" collapsed="false">
      <c r="A42" s="9" t="s">
        <v>81</v>
      </c>
      <c r="B42" s="9" t="s">
        <v>82</v>
      </c>
      <c r="C42" s="10" t="n">
        <v>1</v>
      </c>
      <c r="D42" s="11" t="n">
        <v>11</v>
      </c>
      <c r="E42" s="12" t="n">
        <f aca="false">C42*D42</f>
        <v>11</v>
      </c>
      <c r="F42" s="21" t="s">
        <v>83</v>
      </c>
      <c r="G42" s="9" t="s">
        <v>84</v>
      </c>
      <c r="H42" s="22"/>
      <c r="I42" s="9" t="s">
        <v>85</v>
      </c>
      <c r="J42" s="9" t="s">
        <v>86</v>
      </c>
    </row>
    <row r="43" customFormat="false" ht="15.75" hidden="false" customHeight="true" outlineLevel="0" collapsed="false">
      <c r="A43" s="9" t="s">
        <v>87</v>
      </c>
      <c r="B43" s="9" t="s">
        <v>16</v>
      </c>
      <c r="C43" s="10" t="n">
        <v>1</v>
      </c>
      <c r="D43" s="11" t="n">
        <v>3</v>
      </c>
      <c r="E43" s="12" t="n">
        <f aca="false">C43*D43</f>
        <v>3</v>
      </c>
      <c r="F43" s="21" t="s">
        <v>83</v>
      </c>
      <c r="G43" s="9" t="s">
        <v>88</v>
      </c>
      <c r="H43" s="22"/>
      <c r="I43" s="9" t="s">
        <v>89</v>
      </c>
      <c r="J43" s="9" t="s">
        <v>90</v>
      </c>
    </row>
    <row r="44" customFormat="false" ht="15.75" hidden="false" customHeight="true" outlineLevel="0" collapsed="false">
      <c r="A44" s="9" t="s">
        <v>91</v>
      </c>
      <c r="B44" s="9" t="s">
        <v>92</v>
      </c>
      <c r="C44" s="10" t="n">
        <v>1</v>
      </c>
      <c r="D44" s="11" t="n">
        <v>5</v>
      </c>
      <c r="E44" s="12" t="n">
        <f aca="false">C44*D44</f>
        <v>5</v>
      </c>
      <c r="F44" s="21" t="s">
        <v>83</v>
      </c>
      <c r="G44" s="9" t="s">
        <v>93</v>
      </c>
      <c r="H44" s="22"/>
      <c r="I44" s="9" t="s">
        <v>94</v>
      </c>
      <c r="J44" s="9" t="s">
        <v>95</v>
      </c>
    </row>
    <row r="45" customFormat="false" ht="15" hidden="false" customHeight="false" outlineLevel="0" collapsed="false">
      <c r="A45" s="16" t="s">
        <v>96</v>
      </c>
      <c r="B45" s="17"/>
      <c r="C45" s="17"/>
      <c r="D45" s="17"/>
      <c r="E45" s="18" t="n">
        <f aca="false">SUM(E42:E44)</f>
        <v>19</v>
      </c>
      <c r="F45" s="17"/>
      <c r="G45" s="17"/>
      <c r="H45" s="17"/>
      <c r="I45" s="17"/>
      <c r="J45" s="17"/>
    </row>
    <row r="46" customFormat="false" ht="15" hidden="false" customHeight="false" outlineLevel="0" collapsed="false">
      <c r="A46" s="3" t="s">
        <v>97</v>
      </c>
      <c r="E46" s="6" t="n">
        <f aca="false">E39+E45</f>
        <v>88.5</v>
      </c>
    </row>
    <row r="48" customFormat="false" ht="15" hidden="false" customHeight="false" outlineLevel="0" collapsed="false">
      <c r="A48" s="8" t="s">
        <v>98</v>
      </c>
      <c r="B48" s="8"/>
      <c r="C48" s="8"/>
      <c r="D48" s="8"/>
      <c r="E48" s="8"/>
      <c r="F48" s="8"/>
      <c r="G48" s="8"/>
      <c r="H48" s="8"/>
      <c r="I48" s="8"/>
      <c r="J48" s="8"/>
    </row>
    <row r="49" customFormat="false" ht="15" hidden="false" customHeight="true" outlineLevel="0" collapsed="false">
      <c r="A49" s="23" t="s">
        <v>99</v>
      </c>
      <c r="B49" s="23"/>
      <c r="C49" s="23"/>
      <c r="D49" s="23"/>
      <c r="E49" s="23"/>
      <c r="F49" s="23"/>
      <c r="G49" s="23"/>
      <c r="H49" s="23"/>
      <c r="I49" s="23"/>
      <c r="J49" s="23"/>
    </row>
    <row r="50" customFormat="false" ht="15" hidden="false" customHeight="true" outlineLevel="0" collapsed="false">
      <c r="A50" s="23" t="s">
        <v>100</v>
      </c>
      <c r="B50" s="23"/>
      <c r="C50" s="23"/>
      <c r="D50" s="23"/>
      <c r="E50" s="23"/>
      <c r="F50" s="23"/>
      <c r="G50" s="23"/>
      <c r="H50" s="23"/>
      <c r="I50" s="23"/>
      <c r="J50" s="23"/>
    </row>
    <row r="51" customFormat="false" ht="15" hidden="false" customHeight="true" outlineLevel="0" collapsed="false">
      <c r="A51" s="23" t="s">
        <v>101</v>
      </c>
      <c r="B51" s="23"/>
      <c r="C51" s="23"/>
      <c r="D51" s="23"/>
      <c r="E51" s="23"/>
      <c r="F51" s="23"/>
      <c r="G51" s="23"/>
      <c r="H51" s="23"/>
      <c r="I51" s="23"/>
      <c r="J51" s="23"/>
    </row>
    <row r="52" customFormat="false" ht="15" hidden="false" customHeight="true" outlineLevel="0" collapsed="false">
      <c r="A52" s="23" t="s">
        <v>102</v>
      </c>
      <c r="B52" s="23"/>
      <c r="C52" s="23"/>
      <c r="D52" s="23"/>
      <c r="E52" s="23"/>
      <c r="F52" s="23"/>
      <c r="G52" s="23"/>
      <c r="H52" s="23"/>
      <c r="I52" s="23"/>
      <c r="J52" s="23"/>
    </row>
    <row r="54" customFormat="false" ht="15" hidden="false" customHeight="false" outlineLevel="0" collapsed="false">
      <c r="A54" s="8" t="s">
        <v>103</v>
      </c>
      <c r="B54" s="8"/>
      <c r="C54" s="8"/>
      <c r="D54" s="8"/>
      <c r="E54" s="8"/>
      <c r="F54" s="8"/>
      <c r="G54" s="8"/>
      <c r="H54" s="8"/>
      <c r="I54" s="8"/>
      <c r="J54" s="8"/>
    </row>
    <row r="55" customFormat="false" ht="15" hidden="false" customHeight="true" outlineLevel="0" collapsed="false">
      <c r="A55" s="24" t="s">
        <v>104</v>
      </c>
      <c r="B55" s="24"/>
      <c r="C55" s="24"/>
      <c r="D55" s="24"/>
      <c r="E55" s="24"/>
      <c r="F55" s="24"/>
      <c r="G55" s="24"/>
      <c r="H55" s="24"/>
      <c r="I55" s="24"/>
      <c r="J55" s="24"/>
    </row>
    <row r="56" customFormat="false" ht="15" hidden="false" customHeight="true" outlineLevel="0" collapsed="false">
      <c r="A56" s="24" t="s">
        <v>105</v>
      </c>
      <c r="B56" s="24"/>
      <c r="C56" s="24"/>
      <c r="D56" s="24"/>
      <c r="E56" s="24"/>
      <c r="F56" s="24"/>
      <c r="G56" s="24"/>
      <c r="H56" s="24"/>
      <c r="I56" s="24"/>
      <c r="J56" s="24"/>
    </row>
    <row r="57" customFormat="false" ht="15" hidden="false" customHeight="true" outlineLevel="0" collapsed="false">
      <c r="A57" s="24" t="s">
        <v>106</v>
      </c>
      <c r="B57" s="24"/>
      <c r="C57" s="24"/>
      <c r="D57" s="24"/>
      <c r="E57" s="24"/>
      <c r="F57" s="24"/>
      <c r="G57" s="24"/>
      <c r="H57" s="24"/>
      <c r="I57" s="24"/>
      <c r="J57" s="24"/>
    </row>
    <row r="58" customFormat="false" ht="15" hidden="false" customHeight="true" outlineLevel="0" collapsed="false">
      <c r="A58" s="24" t="s">
        <v>107</v>
      </c>
      <c r="B58" s="24"/>
      <c r="C58" s="24"/>
      <c r="D58" s="24"/>
      <c r="E58" s="24"/>
      <c r="F58" s="24"/>
      <c r="G58" s="24"/>
      <c r="H58" s="24"/>
      <c r="I58" s="24"/>
      <c r="J58" s="24"/>
    </row>
    <row r="59" customFormat="false" ht="15" hidden="false" customHeight="true" outlineLevel="0" collapsed="false">
      <c r="A59" s="24" t="s">
        <v>108</v>
      </c>
      <c r="B59" s="24"/>
      <c r="C59" s="24"/>
      <c r="D59" s="24"/>
      <c r="E59" s="24"/>
      <c r="F59" s="24"/>
      <c r="G59" s="24"/>
      <c r="H59" s="24"/>
      <c r="I59" s="24"/>
      <c r="J59" s="24"/>
    </row>
    <row r="60" customFormat="false" ht="15" hidden="false" customHeight="true" outlineLevel="0" collapsed="false">
      <c r="A60" s="24" t="s">
        <v>109</v>
      </c>
      <c r="B60" s="24"/>
      <c r="C60" s="24"/>
      <c r="D60" s="24"/>
      <c r="E60" s="24"/>
      <c r="F60" s="24"/>
      <c r="G60" s="24"/>
      <c r="H60" s="24"/>
      <c r="I60" s="24"/>
      <c r="J60" s="24"/>
    </row>
  </sheetData>
  <mergeCells count="10">
    <mergeCell ref="A49:J49"/>
    <mergeCell ref="A50:J50"/>
    <mergeCell ref="A51:J51"/>
    <mergeCell ref="A52:J52"/>
    <mergeCell ref="A55:J55"/>
    <mergeCell ref="A56:J56"/>
    <mergeCell ref="A57:J57"/>
    <mergeCell ref="A58:J58"/>
    <mergeCell ref="A59:J59"/>
    <mergeCell ref="A60:J60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H8" r:id="rId2" display="AliExpress – DAZ's link"/>
    <hyperlink ref="H9" r:id="rId3" display="AliExpress – DAZ's link"/>
    <hyperlink ref="H10" r:id="rId4" display="AliExpress – DAZ's link"/>
    <hyperlink ref="H11" r:id="rId5" display="AliExpress – DAZ's link"/>
    <hyperlink ref="H12" r:id="rId6" display="AliExpress – DAZ's link"/>
    <hyperlink ref="H13" r:id="rId7" display="AliExpress – DAZ's link"/>
    <hyperlink ref="H14" r:id="rId8" display="AliExpress search: MR126ZZ"/>
    <hyperlink ref="H15" r:id="rId9" display="AliExpress – DAZ's link"/>
    <hyperlink ref="H19" r:id="rId10" display="AliExpress – DAZ's link"/>
    <hyperlink ref="H20" r:id="rId11" display="AliExpress – DAZ's link"/>
    <hyperlink ref="H21" r:id="rId12" display="AliExpress – DAZ's link"/>
    <hyperlink ref="H22" r:id="rId13" display="AliExpress – DAZ's link"/>
    <hyperlink ref="H23" r:id="rId14" display="AliExpress – DAZ's link"/>
    <hyperlink ref="H24" r:id="rId15" display="AliExpress – DAZ's link"/>
    <hyperlink ref="H25" r:id="rId16" display="AliExpress – DAZ's link"/>
    <hyperlink ref="H26" r:id="rId17" display="AliExpress – DAZ's link"/>
    <hyperlink ref="H27" r:id="rId18" display="AliExpress – DAZ's link"/>
    <hyperlink ref="H28" r:id="rId19" display="AliExpress – DAZ's link"/>
    <hyperlink ref="H29" r:id="rId20" display="AliExpress – DAZ's link"/>
    <hyperlink ref="H30" r:id="rId21" display="AliExpress – DAZ's link"/>
    <hyperlink ref="H31" r:id="rId22" display="AliExpress – DAZ's link"/>
    <hyperlink ref="H32" r:id="rId23" display="AliExpress – DAZ's link"/>
    <hyperlink ref="H33" r:id="rId24" display="AliExpress – DAZ's link"/>
    <hyperlink ref="H34" r:id="rId25" display="AliExpress – DAZ's link"/>
    <hyperlink ref="H35" r:id="rId26" display="AliExpress – DAZ's link"/>
    <hyperlink ref="H36" r:id="rId27" display="AliExpress search: M8 wash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2026-10-02T04:25:36Z</dcterms:created>
  <dc:creator>openpyxl</dc:creator>
  <dc:description/>
  <dc:language>en-US</dc:language>
  <cp:lastModifiedBy/>
  <dcterms:modified xsi:type="dcterms:W3CDTF">2026-10-02T04:25:36Z</dcterms:modified>
  <cp:revision>0</cp:revision>
  <dc:subject>Budget parts list in AUD</dc:subject>
  <dc:title>DAZ Projects Shifter V2 (H-pattern + sequential)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