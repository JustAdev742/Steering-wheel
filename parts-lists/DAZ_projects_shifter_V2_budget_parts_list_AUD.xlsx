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</sheets>
  <definedNames>
    <definedName function="false" hidden="false" localSheetId="0" name="_xlnm.Print_Titles" vbProcedure="false">'Parts list'!$5:$5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<sst xmlns="http://schemas.openxmlformats.org/spreadsheetml/2006/main" count="275" uniqueCount="137">
  <si>
    <t xml:space="preserve">DAZ Projects Shifter V2 (H-pattern + sequential) – budget parts list (AUD)</t>
  </si>
  <si>
    <t xml:space="preserve">Prices are estimates in AUD incl. 10% GST, checked 3 Oct 2026. AliExpress prices change daily – edit the blue cells and everything re-totals. Every part has a main link and a backup link in case a listing sells out.</t>
  </si>
  <si>
    <t xml:space="preserve">Budget (AUD) – edit the yellow cell</t>
  </si>
  <si>
    <t xml:space="preserve">Total</t>
  </si>
  <si>
    <t xml:space="preserve">Component</t>
  </si>
  <si>
    <t xml:space="preserve">Need</t>
  </si>
  <si>
    <t xml:space="preserve">Buy</t>
  </si>
  <si>
    <t xml:space="preserve">Each (AUD)</t>
  </si>
  <si>
    <t xml:space="preserve">Total (AUD)</t>
  </si>
  <si>
    <t xml:space="preserve">Change vs DAZ's list</t>
  </si>
  <si>
    <t xml:space="preserve">Where to buy</t>
  </si>
  <si>
    <t xml:space="preserve">Main link</t>
  </si>
  <si>
    <t xml:space="preserve">Backup link</t>
  </si>
  <si>
    <t xml:space="preserve">Listing check</t>
  </si>
  <si>
    <t xml:space="preserve">Notes</t>
  </si>
  <si>
    <t xml:space="preserve">Price basis</t>
  </si>
  <si>
    <t xml:space="preserve">1. PARTS TO BUY</t>
  </si>
  <si>
    <t xml:space="preserve">M8 threaded rod, 200 mm (gear lever)</t>
  </si>
  <si>
    <t xml:space="preserve">1</t>
  </si>
  <si>
    <t xml:space="preserve">Cheaper – any seller, same size</t>
  </si>
  <si>
    <t xml:space="preserve">AliExpress / Bunnings</t>
  </si>
  <si>
    <t xml:space="preserve">AliExpress – DAZ's link</t>
  </si>
  <si>
    <t xml:space="preserve">Bunnings search: M8 threaded rod</t>
  </si>
  <si>
    <t xml:space="preserve">Live (3 Oct 2026)</t>
  </si>
  <si>
    <t xml:space="preserve">Pick 200 mm on DAZ's listing, or cut a 1 m Bunnings rod (that also covers the pedals' 70 mm piece).</t>
  </si>
  <si>
    <t xml:space="preserve">Typical 200 mm stainless M8 rod US$1.50–2.50.</t>
  </si>
  <si>
    <t xml:space="preserve">Arduino Pro Micro (ATmega32U4, 5 V / 16 MHz), USB-C</t>
  </si>
  <si>
    <t xml:space="preserve">AliExpress</t>
  </si>
  <si>
    <t xml:space="preserve">AliExpress search: Pro Micro USB-C</t>
  </si>
  <si>
    <t xml:space="preserve">Search – in-stock sellers</t>
  </si>
  <si>
    <t xml:space="preserve">Must be ATmega32U4, 5 V / 16 MHz, USB-C. Runs DAZ's shifter code.</t>
  </si>
  <si>
    <t xml:space="preserve">2026 search: USB-C Pro Micro ≈ US$4.36 ≈ AUD 6.90 incl. GST.</t>
  </si>
  <si>
    <t xml:space="preserve">MGN12H linear rail, 100 mm, with H block</t>
  </si>
  <si>
    <t xml:space="preserve">AliExpress search: MGN12H 100 mm</t>
  </si>
  <si>
    <t xml:space="preserve">Must be the long MGN12H block, not MGN12C (DAZ's warning).</t>
  </si>
  <si>
    <t xml:space="preserve">2026 search: from US$5.64 (multi-size listing) to US$9.33 (MGN12-only) ≈ AUD 9–15 incl. GST.</t>
  </si>
  <si>
    <t xml:space="preserve">M8 female ball joint (rod end), right-hand thread</t>
  </si>
  <si>
    <t xml:space="preserve">Kept – DAZ's exact part</t>
  </si>
  <si>
    <t xml:space="preserve">AliExpress search: M8 female rod end</t>
  </si>
  <si>
    <t xml:space="preserve">Typical listing US$2–3.</t>
  </si>
  <si>
    <t xml:space="preserve">M8 male ball joint</t>
  </si>
  <si>
    <t xml:space="preserve">AliExpress search: M8 male rod end</t>
  </si>
  <si>
    <t xml:space="preserve">Compression springs, 1.2 mm wire × 9 mm OD × 30 mm</t>
  </si>
  <si>
    <t xml:space="preserve">4</t>
  </si>
  <si>
    <t xml:space="preserve">AliExpress search: spring 1.2 × 9 × 30 mm</t>
  </si>
  <si>
    <t xml:space="preserve">The shift feel comes from these exact sizes – match wire 1.2 mm, OD 9 mm, length 30 mm.</t>
  </si>
  <si>
    <t xml:space="preserve">Small pack ≈ US$2–3.</t>
  </si>
  <si>
    <t xml:space="preserve">Micro switches with roller lever (KW11-3Z type), 10-pack</t>
  </si>
  <si>
    <t xml:space="preserve">5</t>
  </si>
  <si>
    <t xml:space="preserve">AliExpress search: KW11-3Z roller 10 pcs</t>
  </si>
  <si>
    <t xml:space="preserve">A 10-pack leaves 5 spare – enough for the wheel's paddles later.</t>
  </si>
  <si>
    <t xml:space="preserve">2026 search: KW11-3Z roller 10-packs ≈ US$2.33 ≈ AUD 3.70 incl. GST; DAZ's link US$3.57 (May 2025).</t>
  </si>
  <si>
    <t xml:space="preserve">Bearings 6 × 12 × 4 mm (MR126ZZ), 10-pack</t>
  </si>
  <si>
    <t xml:space="preserve">7</t>
  </si>
  <si>
    <t xml:space="preserve">Cheaper – chrome steel, not stainless</t>
  </si>
  <si>
    <t xml:space="preserve">AliExpress search: MR126ZZ</t>
  </si>
  <si>
    <t xml:space="preserve">DAZ linked stainless SMR126-2RS. Plain chrome-steel MR126ZZ is the same size and plenty for a shifter.</t>
  </si>
  <si>
    <t xml:space="preserve">MR126ZZ 10-packs ≈ US$2–3; stainless SMR126 ≈ US$4–6.</t>
  </si>
  <si>
    <t xml:space="preserve">Subtotal – parts</t>
  </si>
  <si>
    <t xml:space="preserve">2. NUTS &amp; BOLTS (DAZ's list)</t>
  </si>
  <si>
    <t xml:space="preserve">M2.5 × 12 self-tapping screws (or M2.2 × 13)</t>
  </si>
  <si>
    <t xml:space="preserve">Cheaper – any seller, same size (small pack)</t>
  </si>
  <si>
    <t xml:space="preserve">AliExpress search: M2.5x12 self-tapping</t>
  </si>
  <si>
    <t xml:space="preserve">Pick the exact size and the smallest quantity. Plain steel is cheaper than stainless and fine indoors. Bunnings has most sizes today but costs 2–3× more.</t>
  </si>
  <si>
    <t xml:space="preserve">Small AliExpress pack ≈ AUD 1–2.50.</t>
  </si>
  <si>
    <t xml:space="preserve">M3 × 16 self-tapping screws (or M2.9 × 16)</t>
  </si>
  <si>
    <t xml:space="preserve">2</t>
  </si>
  <si>
    <t xml:space="preserve">AliExpress search: M3x16 self-tapping</t>
  </si>
  <si>
    <t xml:space="preserve">M3 × 8 countersunk screws</t>
  </si>
  <si>
    <t xml:space="preserve">AliExpress search: M3x8 countersunk</t>
  </si>
  <si>
    <t xml:space="preserve">M4 × 16 socket head screws</t>
  </si>
  <si>
    <t xml:space="preserve">3</t>
  </si>
  <si>
    <t xml:space="preserve">AliExpress search: M4x16 socket head</t>
  </si>
  <si>
    <t xml:space="preserve">M4 × 20 socket head screws</t>
  </si>
  <si>
    <t xml:space="preserve">AliExpress search: M4x20 socket head</t>
  </si>
  <si>
    <t xml:space="preserve">M5 × 12 socket head screws</t>
  </si>
  <si>
    <t xml:space="preserve">AliExpress search: M5x12 socket head</t>
  </si>
  <si>
    <t xml:space="preserve">M5 × 20 socket head screws</t>
  </si>
  <si>
    <t xml:space="preserve">AliExpress search: M5x20 socket head</t>
  </si>
  <si>
    <t xml:space="preserve">M5 × 30 socket head screws</t>
  </si>
  <si>
    <t xml:space="preserve">AliExpress search: M5x30 socket head</t>
  </si>
  <si>
    <t xml:space="preserve">M5 × 40 socket head screws</t>
  </si>
  <si>
    <t xml:space="preserve">AliExpress search: M5x40 socket head</t>
  </si>
  <si>
    <t xml:space="preserve">M6 × 20 button head screws (or M6 × 18)</t>
  </si>
  <si>
    <t xml:space="preserve">AliExpress search: M6x20 button head</t>
  </si>
  <si>
    <t xml:space="preserve">M6 × 35 button head screws</t>
  </si>
  <si>
    <t xml:space="preserve">AliExpress search: M6x35 button head</t>
  </si>
  <si>
    <t xml:space="preserve">M8 × 25 button head screw</t>
  </si>
  <si>
    <t xml:space="preserve">AliExpress search: M8x25 button head</t>
  </si>
  <si>
    <t xml:space="preserve">M8 × 50 hex head bolt</t>
  </si>
  <si>
    <t xml:space="preserve">AliExpress search: M8x50 hex bolt</t>
  </si>
  <si>
    <t xml:space="preserve">M4 nuts</t>
  </si>
  <si>
    <t xml:space="preserve">AliExpress search: M4 nut</t>
  </si>
  <si>
    <t xml:space="preserve">M5 nuts</t>
  </si>
  <si>
    <t xml:space="preserve">AliExpress search: M5 nut</t>
  </si>
  <si>
    <t xml:space="preserve">M6 nut</t>
  </si>
  <si>
    <t xml:space="preserve">AliExpress search: M6 nut</t>
  </si>
  <si>
    <t xml:space="preserve">M8 nuts</t>
  </si>
  <si>
    <t xml:space="preserve">AliExpress search: M8 nut</t>
  </si>
  <si>
    <t xml:space="preserve">M8 washer</t>
  </si>
  <si>
    <t xml:space="preserve">AliExpress search: M8 washer</t>
  </si>
  <si>
    <t xml:space="preserve">Subtotal – nuts &amp; bolts</t>
  </si>
  <si>
    <t xml:space="preserve">TOTAL – counts toward the budget</t>
  </si>
  <si>
    <t xml:space="preserve">3. FREE IF YOU CAN SCROUNGE THEM / ALREADY HAVE (NOT counted – prices are if you buy)</t>
  </si>
  <si>
    <t xml:space="preserve">Bearings 8 × 22 × 7 mm (608ZZ skateboard bearings)</t>
  </si>
  <si>
    <t xml:space="preserve">Free – from an old skateboard</t>
  </si>
  <si>
    <t xml:space="preserve">Old skateboard / scooter</t>
  </si>
  <si>
    <t xml:space="preserve">AliExpress search: 608ZZ</t>
  </si>
  <si>
    <t xml:space="preserve">Standard skateboard bearings – two out of an old skateboard, scooter or fidget spinner. Buying? Jaycar YG2950 (10-pack) is ≈ $14 locally.</t>
  </si>
  <si>
    <t xml:space="preserve">2026 search: 608ZZ 10-packs ≈ US$7 (US store); Jaycar 608RS 10-pack AUD 13.95.</t>
  </si>
  <si>
    <t xml:space="preserve">Hook-up wire, solder, heat-shrink</t>
  </si>
  <si>
    <t xml:space="preserve">–</t>
  </si>
  <si>
    <t xml:space="preserve">Not counted</t>
  </si>
  <si>
    <t xml:space="preserve">Jaycar / AliExpress</t>
  </si>
  <si>
    <t xml:space="preserve">For wiring the electronics.</t>
  </si>
  <si>
    <t xml:space="preserve">Typical small-pack prices.</t>
  </si>
  <si>
    <t xml:space="preserve">PLA+ filament for the printed parts</t>
  </si>
  <si>
    <t xml:space="preserve">≈0.5 kg</t>
  </si>
  <si>
    <t xml:space="preserve">AliExpress / Amazon AU</t>
  </si>
  <si>
    <t xml:space="preserve">You're budgeting the printing separately. Budget PLA+ is about AUD 18–25 per kg on sale.</t>
  </si>
  <si>
    <t xml:space="preserve">Typical AU price for a budget 1 kg roll.</t>
  </si>
  <si>
    <t xml:space="preserve">USB-C data cable</t>
  </si>
  <si>
    <t xml:space="preserve">Kmart / AliExpress</t>
  </si>
  <si>
    <t xml:space="preserve">Connects the Pro Micro to the PC.</t>
  </si>
  <si>
    <t xml:space="preserve">Typical price.</t>
  </si>
  <si>
    <t xml:space="preserve">If you need to buy these too</t>
  </si>
  <si>
    <t xml:space="preserve">All-in total including section 3</t>
  </si>
  <si>
    <t xml:space="preserve">TIPS</t>
  </si>
  <si>
    <t xml:space="preserve">• Order everything from AliExpress in one go during the 11.11 sale (11 November) – sale coupons usually take money off orders this size, and one big order clears the free-shipping threshold.</t>
  </si>
  <si>
    <t xml:space="preserve">• DAZ's FAQ says his pedals and shifter can run off one Arduino Leonardo – if his V2 guide supports it, skip the Pro Micro: −$7.</t>
  </si>
  <si>
    <t xml:space="preserve">ASSUMPTIONS &amp; SOURCES</t>
  </si>
  <si>
    <t xml:space="preserve">• Prices: estimates in AUD including 10% GST (AliExpress adds GST to Australian orders under AUD 1,000). Blue cells are inputs you can change; black cells are formulas.</t>
  </si>
  <si>
    <t xml:space="preserve">• Exchange rates: 1 USD = 1.4425 AUD, 1 EUR = 1.6249 AUD (ExchangeRate-API, open.er-api.com, 2 Oct 2026). DAZ's EU-store prices include EU VAT, so they were converted net of 22% VAT before adding GST.</t>
  </si>
  <si>
    <t xml:space="preserve">• Links: 'DAZ's link' = DAZ's own AliExpress (affiliate) listing – used where his printed parts need that exact part, and buying through it supports him. 'AliExpress search' = every seller with that part, so it always shows what's in stock; sort by price and check the size/variant. Choice-badge listings ship free over the threshold and arrive fastest.</t>
  </si>
  <si>
    <t xml:space="preserve">• Listing check (3 Oct 2026): all 76 of DAZ's links still lead to an AliExpress product, and every DAZ listing used as a main link was opened to confirm its product page is live. Rows marked 'not auto-checked' were blocked by AliExpress's bot check – the link itself works. Stock and shipping to Australia show at checkout; if a listing has sold out, use the backup link.</t>
  </si>
  <si>
    <t xml:space="preserve">• Price basis: DAZ's links carry the price from when he made them (mostly May 2025), quoted where available. '2026 search' figures are from AliExpress's US store on 3 Oct 2026; since 2025 US prices include import tariffs, so Australian prices are usually a little lower.</t>
  </si>
  <si>
    <t xml:space="preserve">• Based on DAZ Projects' Shifter V2 parts list.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</si>
</sst>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;&quot;-$&quot;#,##0.00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c4DbSC0d" TargetMode="External"/><Relationship Id="rId2" Type="http://schemas.openxmlformats.org/officeDocument/2006/relationships/hyperlink" Target="https://www.bunnings.com.au/search/products?q=m8%20threaded%20rod" TargetMode="External"/><Relationship Id="rId3" Type="http://schemas.openxmlformats.org/officeDocument/2006/relationships/hyperlink" Target="https://www.aliexpress.com/w/wholesale-pro-micro-usb-c-atmega32u4.html" TargetMode="External"/><Relationship Id="rId4" Type="http://schemas.openxmlformats.org/officeDocument/2006/relationships/hyperlink" Target="https://s.click.aliexpress.com/e/_c3Fjl1H7" TargetMode="External"/><Relationship Id="rId5" Type="http://schemas.openxmlformats.org/officeDocument/2006/relationships/hyperlink" Target="https://www.aliexpress.com/w/wholesale-MGN12H-100mm-linear-rail.html" TargetMode="External"/><Relationship Id="rId6" Type="http://schemas.openxmlformats.org/officeDocument/2006/relationships/hyperlink" Target="https://s.click.aliexpress.com/e/_c3oJ2Bt3" TargetMode="External"/><Relationship Id="rId7" Type="http://schemas.openxmlformats.org/officeDocument/2006/relationships/hyperlink" Target="https://s.click.aliexpress.com/e/_c4azI7jR" TargetMode="External"/><Relationship Id="rId8" Type="http://schemas.openxmlformats.org/officeDocument/2006/relationships/hyperlink" Target="https://www.aliexpress.com/w/wholesale-M8-rod-end-female.html" TargetMode="External"/><Relationship Id="rId9" Type="http://schemas.openxmlformats.org/officeDocument/2006/relationships/hyperlink" Target="https://s.click.aliexpress.com/e/_c4CvMnYp" TargetMode="External"/><Relationship Id="rId10" Type="http://schemas.openxmlformats.org/officeDocument/2006/relationships/hyperlink" Target="https://www.aliexpress.com/w/wholesale-M8-rod-end-male.html" TargetMode="External"/><Relationship Id="rId11" Type="http://schemas.openxmlformats.org/officeDocument/2006/relationships/hyperlink" Target="https://www.aliexpress.com/w/wholesale-compression-spring-1.2mm-9mm-30mm.html" TargetMode="External"/><Relationship Id="rId12" Type="http://schemas.openxmlformats.org/officeDocument/2006/relationships/hyperlink" Target="https://s.click.aliexpress.com/e/_c3KC3hNL" TargetMode="External"/><Relationship Id="rId13" Type="http://schemas.openxmlformats.org/officeDocument/2006/relationships/hyperlink" Target="https://www.aliexpress.com/w/wholesale-KW11-3Z-roller-lever-micro-switch.html" TargetMode="External"/><Relationship Id="rId14" Type="http://schemas.openxmlformats.org/officeDocument/2006/relationships/hyperlink" Target="https://s.click.aliexpress.com/e/_c3tPrBcv" TargetMode="External"/><Relationship Id="rId15" Type="http://schemas.openxmlformats.org/officeDocument/2006/relationships/hyperlink" Target="https://www.aliexpress.com/w/wholesale-MR126ZZ-bearing.html" TargetMode="External"/><Relationship Id="rId16" Type="http://schemas.openxmlformats.org/officeDocument/2006/relationships/hyperlink" Target="https://s.click.aliexpress.com/e/_c3lWWj6V" TargetMode="External"/><Relationship Id="rId17" Type="http://schemas.openxmlformats.org/officeDocument/2006/relationships/hyperlink" Target="https://www.aliexpress.com/w/wholesale-M2.5x12-self-tapping-screw.html" TargetMode="External"/><Relationship Id="rId18" Type="http://schemas.openxmlformats.org/officeDocument/2006/relationships/hyperlink" Target="https://s.click.aliexpress.com/e/_c4TpvOcH" TargetMode="External"/><Relationship Id="rId19" Type="http://schemas.openxmlformats.org/officeDocument/2006/relationships/hyperlink" Target="https://www.aliexpress.com/w/wholesale-M3x16-self-tapping-screw.html" TargetMode="External"/><Relationship Id="rId20" Type="http://schemas.openxmlformats.org/officeDocument/2006/relationships/hyperlink" Target="https://s.click.aliexpress.com/e/_c4TpvOcH" TargetMode="External"/><Relationship Id="rId21" Type="http://schemas.openxmlformats.org/officeDocument/2006/relationships/hyperlink" Target="https://www.aliexpress.com/w/wholesale-M3x8-countersunk-screw.html" TargetMode="External"/><Relationship Id="rId22" Type="http://schemas.openxmlformats.org/officeDocument/2006/relationships/hyperlink" Target="https://s.click.aliexpress.com/e/_c3c2tuQh" TargetMode="External"/><Relationship Id="rId23" Type="http://schemas.openxmlformats.org/officeDocument/2006/relationships/hyperlink" Target="https://www.aliexpress.com/w/wholesale-M4x16-socket-head-screw.html" TargetMode="External"/><Relationship Id="rId24" Type="http://schemas.openxmlformats.org/officeDocument/2006/relationships/hyperlink" Target="https://s.click.aliexpress.com/e/_c4F4mPuh" TargetMode="External"/><Relationship Id="rId25" Type="http://schemas.openxmlformats.org/officeDocument/2006/relationships/hyperlink" Target="https://www.aliexpress.com/w/wholesale-M4x20-socket-head-screw.html" TargetMode="External"/><Relationship Id="rId26" Type="http://schemas.openxmlformats.org/officeDocument/2006/relationships/hyperlink" Target="https://s.click.aliexpress.com/e/_c4F4mPuh" TargetMode="External"/><Relationship Id="rId27" Type="http://schemas.openxmlformats.org/officeDocument/2006/relationships/hyperlink" Target="https://www.aliexpress.com/w/wholesale-M5x12-socket-head-screw.html" TargetMode="External"/><Relationship Id="rId28" Type="http://schemas.openxmlformats.org/officeDocument/2006/relationships/hyperlink" Target="https://s.click.aliexpress.com/e/_c4F4mPuh" TargetMode="External"/><Relationship Id="rId29" Type="http://schemas.openxmlformats.org/officeDocument/2006/relationships/hyperlink" Target="https://www.aliexpress.com/w/wholesale-M5x20-socket-head-screw.html" TargetMode="External"/><Relationship Id="rId30" Type="http://schemas.openxmlformats.org/officeDocument/2006/relationships/hyperlink" Target="https://s.click.aliexpress.com/e/_c4F4mPuh" TargetMode="External"/><Relationship Id="rId31" Type="http://schemas.openxmlformats.org/officeDocument/2006/relationships/hyperlink" Target="https://www.aliexpress.com/w/wholesale-M5x30-socket-head-screw.html" TargetMode="External"/><Relationship Id="rId32" Type="http://schemas.openxmlformats.org/officeDocument/2006/relationships/hyperlink" Target="https://s.click.aliexpress.com/e/_c4F4mPuh" TargetMode="External"/><Relationship Id="rId33" Type="http://schemas.openxmlformats.org/officeDocument/2006/relationships/hyperlink" Target="https://www.aliexpress.com/w/wholesale-M5x40-socket-head-screw.html" TargetMode="External"/><Relationship Id="rId34" Type="http://schemas.openxmlformats.org/officeDocument/2006/relationships/hyperlink" Target="https://s.click.aliexpress.com/e/_c4F4mPuh" TargetMode="External"/><Relationship Id="rId35" Type="http://schemas.openxmlformats.org/officeDocument/2006/relationships/hyperlink" Target="https://www.aliexpress.com/w/wholesale-M6x20-button-head-screw.html" TargetMode="External"/><Relationship Id="rId36" Type="http://schemas.openxmlformats.org/officeDocument/2006/relationships/hyperlink" Target="https://s.click.aliexpress.com/e/_c4lGmb8D" TargetMode="External"/><Relationship Id="rId37" Type="http://schemas.openxmlformats.org/officeDocument/2006/relationships/hyperlink" Target="https://www.aliexpress.com/w/wholesale-M6x35-button-head-screw.html" TargetMode="External"/><Relationship Id="rId38" Type="http://schemas.openxmlformats.org/officeDocument/2006/relationships/hyperlink" Target="https://s.click.aliexpress.com/e/_c4lGmb8D" TargetMode="External"/><Relationship Id="rId39" Type="http://schemas.openxmlformats.org/officeDocument/2006/relationships/hyperlink" Target="https://www.aliexpress.com/w/wholesale-M8x25-button-head-screw.html" TargetMode="External"/><Relationship Id="rId40" Type="http://schemas.openxmlformats.org/officeDocument/2006/relationships/hyperlink" Target="https://s.click.aliexpress.com/e/_c4lGmb8D" TargetMode="External"/><Relationship Id="rId41" Type="http://schemas.openxmlformats.org/officeDocument/2006/relationships/hyperlink" Target="https://www.aliexpress.com/w/wholesale-M8x50-hex-bolt.html" TargetMode="External"/><Relationship Id="rId42" Type="http://schemas.openxmlformats.org/officeDocument/2006/relationships/hyperlink" Target="https://s.click.aliexpress.com/e/_c3wUiJZ3" TargetMode="External"/><Relationship Id="rId43" Type="http://schemas.openxmlformats.org/officeDocument/2006/relationships/hyperlink" Target="https://www.aliexpress.com/w/wholesale-M4-hex-nut.html" TargetMode="External"/><Relationship Id="rId44" Type="http://schemas.openxmlformats.org/officeDocument/2006/relationships/hyperlink" Target="https://s.click.aliexpress.com/e/_c4CPm5kp" TargetMode="External"/><Relationship Id="rId45" Type="http://schemas.openxmlformats.org/officeDocument/2006/relationships/hyperlink" Target="https://www.aliexpress.com/w/wholesale-M5-hex-nut.html" TargetMode="External"/><Relationship Id="rId46" Type="http://schemas.openxmlformats.org/officeDocument/2006/relationships/hyperlink" Target="https://s.click.aliexpress.com/e/_c4CPm5kp" TargetMode="External"/><Relationship Id="rId47" Type="http://schemas.openxmlformats.org/officeDocument/2006/relationships/hyperlink" Target="https://www.aliexpress.com/w/wholesale-M6-hex-nut.html" TargetMode="External"/><Relationship Id="rId48" Type="http://schemas.openxmlformats.org/officeDocument/2006/relationships/hyperlink" Target="https://s.click.aliexpress.com/e/_c4CPm5kp" TargetMode="External"/><Relationship Id="rId49" Type="http://schemas.openxmlformats.org/officeDocument/2006/relationships/hyperlink" Target="https://www.aliexpress.com/w/wholesale-M8-hex-nut.html" TargetMode="External"/><Relationship Id="rId50" Type="http://schemas.openxmlformats.org/officeDocument/2006/relationships/hyperlink" Target="https://s.click.aliexpress.com/e/_c4CPm5kp" TargetMode="External"/><Relationship Id="rId51" Type="http://schemas.openxmlformats.org/officeDocument/2006/relationships/hyperlink" Target="https://www.aliexpress.com/w/wholesale-M8-flat-washer.html" TargetMode="External"/><Relationship Id="rId52" Type="http://schemas.openxmlformats.org/officeDocument/2006/relationships/hyperlink" Target="https://www.aliexpress.com/w/wholesale-608ZZ-bearing.html" TargetMode="External"/><Relationship Id="rId53" Type="http://schemas.openxmlformats.org/officeDocument/2006/relationships/hyperlink" Target="https://s.click.aliexpress.com/e/_c40jxQxj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0.5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31"/>
    <col collapsed="false" customWidth="true" hidden="false" outlineLevel="0" max="10" min="10" style="0" width="18"/>
    <col collapsed="false" customWidth="true" hidden="false" outlineLevel="0" max="11" min="11" style="0" width="56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  <c r="B3" s="4" t="n">
        <v>200</v>
      </c>
      <c r="D3" s="5" t="s">
        <v>3</v>
      </c>
      <c r="E3" s="6" t="n">
        <f aca="false">E38</f>
        <v>65.5</v>
      </c>
      <c r="F3" s="3" t="str">
        <f aca="false">IF($E$3&lt;=$B$3,"UNDER BUDGET – $"&amp;TEXT($B$3-$E$3,"0.00")&amp;" spare","OVER BUDGET by $"&amp;TEXT($E$3-$B$3,"0.00"))</f>
        <v>UNDER BUDGET – $134.50 spare</v>
      </c>
    </row>
    <row r="5" customFormat="false" ht="19.5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</row>
    <row r="6" customFormat="false" ht="15" hidden="false" customHeight="false" outlineLevel="0" collapsed="false">
      <c r="A6" s="8" t="s">
        <v>16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28.5" hidden="false" customHeight="true" outlineLevel="0" collapsed="false">
      <c r="A7" s="9" t="s">
        <v>17</v>
      </c>
      <c r="B7" s="9" t="s">
        <v>18</v>
      </c>
      <c r="C7" s="10" t="n">
        <v>1</v>
      </c>
      <c r="D7" s="11" t="n">
        <v>3</v>
      </c>
      <c r="E7" s="12" t="n">
        <f aca="false">C7*D7</f>
        <v>3</v>
      </c>
      <c r="F7" s="13" t="s">
        <v>19</v>
      </c>
      <c r="G7" s="9" t="s">
        <v>20</v>
      </c>
      <c r="H7" s="14" t="s">
        <v>21</v>
      </c>
      <c r="I7" s="14" t="s">
        <v>22</v>
      </c>
      <c r="J7" s="15" t="s">
        <v>23</v>
      </c>
      <c r="K7" s="9" t="s">
        <v>24</v>
      </c>
      <c r="L7" s="9" t="s">
        <v>25</v>
      </c>
    </row>
    <row r="8" customFormat="false" ht="28.5" hidden="false" customHeight="true" outlineLevel="0" collapsed="false">
      <c r="A8" s="9" t="s">
        <v>26</v>
      </c>
      <c r="B8" s="9" t="s">
        <v>18</v>
      </c>
      <c r="C8" s="10" t="n">
        <v>1</v>
      </c>
      <c r="D8" s="11" t="n">
        <v>7</v>
      </c>
      <c r="E8" s="12" t="n">
        <f aca="false">C8*D8</f>
        <v>7</v>
      </c>
      <c r="F8" s="13" t="s">
        <v>19</v>
      </c>
      <c r="G8" s="9" t="s">
        <v>27</v>
      </c>
      <c r="H8" s="14" t="s">
        <v>28</v>
      </c>
      <c r="I8" s="14" t="s">
        <v>21</v>
      </c>
      <c r="J8" s="15" t="s">
        <v>29</v>
      </c>
      <c r="K8" s="9" t="s">
        <v>30</v>
      </c>
      <c r="L8" s="9" t="s">
        <v>31</v>
      </c>
    </row>
    <row r="9" customFormat="false" ht="28.5" hidden="false" customHeight="true" outlineLevel="0" collapsed="false">
      <c r="A9" s="9" t="s">
        <v>32</v>
      </c>
      <c r="B9" s="9" t="s">
        <v>18</v>
      </c>
      <c r="C9" s="10" t="n">
        <v>1</v>
      </c>
      <c r="D9" s="11" t="n">
        <v>11</v>
      </c>
      <c r="E9" s="12" t="n">
        <f aca="false">C9*D9</f>
        <v>11</v>
      </c>
      <c r="F9" s="13" t="s">
        <v>19</v>
      </c>
      <c r="G9" s="9" t="s">
        <v>27</v>
      </c>
      <c r="H9" s="14" t="s">
        <v>33</v>
      </c>
      <c r="I9" s="14" t="s">
        <v>21</v>
      </c>
      <c r="J9" s="15" t="s">
        <v>29</v>
      </c>
      <c r="K9" s="9" t="s">
        <v>34</v>
      </c>
      <c r="L9" s="9" t="s">
        <v>35</v>
      </c>
    </row>
    <row r="10" customFormat="false" ht="15.75" hidden="false" customHeight="true" outlineLevel="0" collapsed="false">
      <c r="A10" s="9" t="s">
        <v>36</v>
      </c>
      <c r="B10" s="9" t="s">
        <v>18</v>
      </c>
      <c r="C10" s="10" t="n">
        <v>1</v>
      </c>
      <c r="D10" s="11" t="n">
        <v>4</v>
      </c>
      <c r="E10" s="12" t="n">
        <f aca="false">C10*D10</f>
        <v>4</v>
      </c>
      <c r="F10" s="16" t="s">
        <v>37</v>
      </c>
      <c r="G10" s="9" t="s">
        <v>27</v>
      </c>
      <c r="H10" s="14" t="s">
        <v>21</v>
      </c>
      <c r="I10" s="14" t="s">
        <v>38</v>
      </c>
      <c r="J10" s="15" t="s">
        <v>23</v>
      </c>
      <c r="K10" s="9"/>
      <c r="L10" s="9" t="s">
        <v>39</v>
      </c>
    </row>
    <row r="11" customFormat="false" ht="15.75" hidden="false" customHeight="true" outlineLevel="0" collapsed="false">
      <c r="A11" s="9" t="s">
        <v>40</v>
      </c>
      <c r="B11" s="9" t="s">
        <v>18</v>
      </c>
      <c r="C11" s="10" t="n">
        <v>1</v>
      </c>
      <c r="D11" s="11" t="n">
        <v>4</v>
      </c>
      <c r="E11" s="12" t="n">
        <f aca="false">C11*D11</f>
        <v>4</v>
      </c>
      <c r="F11" s="16" t="s">
        <v>37</v>
      </c>
      <c r="G11" s="9" t="s">
        <v>27</v>
      </c>
      <c r="H11" s="14" t="s">
        <v>21</v>
      </c>
      <c r="I11" s="14" t="s">
        <v>41</v>
      </c>
      <c r="J11" s="15" t="s">
        <v>23</v>
      </c>
      <c r="K11" s="9"/>
      <c r="L11" s="9" t="s">
        <v>39</v>
      </c>
    </row>
    <row r="12" customFormat="false" ht="28.5" hidden="false" customHeight="true" outlineLevel="0" collapsed="false">
      <c r="A12" s="9" t="s">
        <v>42</v>
      </c>
      <c r="B12" s="9" t="s">
        <v>43</v>
      </c>
      <c r="C12" s="10" t="n">
        <v>1</v>
      </c>
      <c r="D12" s="11" t="n">
        <v>4</v>
      </c>
      <c r="E12" s="12" t="n">
        <f aca="false">C12*D12</f>
        <v>4</v>
      </c>
      <c r="F12" s="13" t="s">
        <v>19</v>
      </c>
      <c r="G12" s="9" t="s">
        <v>27</v>
      </c>
      <c r="H12" s="14" t="s">
        <v>44</v>
      </c>
      <c r="I12" s="14" t="s">
        <v>21</v>
      </c>
      <c r="J12" s="15" t="s">
        <v>29</v>
      </c>
      <c r="K12" s="9" t="s">
        <v>45</v>
      </c>
      <c r="L12" s="9" t="s">
        <v>46</v>
      </c>
    </row>
    <row r="13" customFormat="false" ht="28.5" hidden="false" customHeight="true" outlineLevel="0" collapsed="false">
      <c r="A13" s="9" t="s">
        <v>47</v>
      </c>
      <c r="B13" s="9" t="s">
        <v>48</v>
      </c>
      <c r="C13" s="10" t="n">
        <v>1</v>
      </c>
      <c r="D13" s="11" t="n">
        <v>4</v>
      </c>
      <c r="E13" s="12" t="n">
        <f aca="false">C13*D13</f>
        <v>4</v>
      </c>
      <c r="F13" s="13" t="s">
        <v>19</v>
      </c>
      <c r="G13" s="9" t="s">
        <v>27</v>
      </c>
      <c r="H13" s="14" t="s">
        <v>49</v>
      </c>
      <c r="I13" s="14" t="s">
        <v>21</v>
      </c>
      <c r="J13" s="15" t="s">
        <v>29</v>
      </c>
      <c r="K13" s="9" t="s">
        <v>50</v>
      </c>
      <c r="L13" s="9" t="s">
        <v>51</v>
      </c>
    </row>
    <row r="14" customFormat="false" ht="28.5" hidden="false" customHeight="true" outlineLevel="0" collapsed="false">
      <c r="A14" s="9" t="s">
        <v>52</v>
      </c>
      <c r="B14" s="9" t="s">
        <v>53</v>
      </c>
      <c r="C14" s="10" t="n">
        <v>1</v>
      </c>
      <c r="D14" s="11" t="n">
        <v>4.5</v>
      </c>
      <c r="E14" s="12" t="n">
        <f aca="false">C14*D14</f>
        <v>4.5</v>
      </c>
      <c r="F14" s="13" t="s">
        <v>54</v>
      </c>
      <c r="G14" s="9" t="s">
        <v>27</v>
      </c>
      <c r="H14" s="14" t="s">
        <v>55</v>
      </c>
      <c r="I14" s="14" t="s">
        <v>21</v>
      </c>
      <c r="J14" s="15" t="s">
        <v>29</v>
      </c>
      <c r="K14" s="9" t="s">
        <v>56</v>
      </c>
      <c r="L14" s="9" t="s">
        <v>57</v>
      </c>
    </row>
    <row r="15" customFormat="false" ht="15" hidden="false" customHeight="false" outlineLevel="0" collapsed="false">
      <c r="A15" s="17" t="s">
        <v>58</v>
      </c>
      <c r="B15" s="18"/>
      <c r="C15" s="18"/>
      <c r="D15" s="18"/>
      <c r="E15" s="19" t="n">
        <f aca="false">SUM(E7:E14)</f>
        <v>41.5</v>
      </c>
      <c r="F15" s="18"/>
      <c r="G15" s="18"/>
      <c r="H15" s="18"/>
      <c r="I15" s="18"/>
      <c r="J15" s="18"/>
      <c r="K15" s="18"/>
      <c r="L15" s="18"/>
    </row>
    <row r="17" customFormat="false" ht="15" hidden="false" customHeight="false" outlineLevel="0" collapsed="false">
      <c r="A17" s="8" t="s">
        <v>59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41.25" hidden="false" customHeight="true" outlineLevel="0" collapsed="false">
      <c r="A18" s="9" t="s">
        <v>60</v>
      </c>
      <c r="B18" s="9" t="s">
        <v>43</v>
      </c>
      <c r="C18" s="10" t="n">
        <v>1</v>
      </c>
      <c r="D18" s="11" t="n">
        <v>1</v>
      </c>
      <c r="E18" s="12" t="n">
        <f aca="false">C18*D18</f>
        <v>1</v>
      </c>
      <c r="F18" s="13" t="s">
        <v>61</v>
      </c>
      <c r="G18" s="9" t="s">
        <v>27</v>
      </c>
      <c r="H18" s="14" t="s">
        <v>62</v>
      </c>
      <c r="I18" s="14" t="s">
        <v>21</v>
      </c>
      <c r="J18" s="15" t="s">
        <v>29</v>
      </c>
      <c r="K18" s="9" t="s">
        <v>63</v>
      </c>
      <c r="L18" s="9" t="s">
        <v>64</v>
      </c>
    </row>
    <row r="19" customFormat="false" ht="28.5" hidden="false" customHeight="true" outlineLevel="0" collapsed="false">
      <c r="A19" s="9" t="s">
        <v>65</v>
      </c>
      <c r="B19" s="9" t="s">
        <v>66</v>
      </c>
      <c r="C19" s="10" t="n">
        <v>1</v>
      </c>
      <c r="D19" s="11" t="n">
        <v>1</v>
      </c>
      <c r="E19" s="12" t="n">
        <f aca="false">C19*D19</f>
        <v>1</v>
      </c>
      <c r="F19" s="13" t="s">
        <v>61</v>
      </c>
      <c r="G19" s="9" t="s">
        <v>27</v>
      </c>
      <c r="H19" s="14" t="s">
        <v>67</v>
      </c>
      <c r="I19" s="14" t="s">
        <v>21</v>
      </c>
      <c r="J19" s="15" t="s">
        <v>29</v>
      </c>
      <c r="K19" s="9"/>
      <c r="L19" s="9" t="s">
        <v>64</v>
      </c>
    </row>
    <row r="20" customFormat="false" ht="28.5" hidden="false" customHeight="true" outlineLevel="0" collapsed="false">
      <c r="A20" s="9" t="s">
        <v>68</v>
      </c>
      <c r="B20" s="9" t="s">
        <v>43</v>
      </c>
      <c r="C20" s="10" t="n">
        <v>1</v>
      </c>
      <c r="D20" s="11" t="n">
        <v>1</v>
      </c>
      <c r="E20" s="12" t="n">
        <f aca="false">C20*D20</f>
        <v>1</v>
      </c>
      <c r="F20" s="13" t="s">
        <v>61</v>
      </c>
      <c r="G20" s="9" t="s">
        <v>27</v>
      </c>
      <c r="H20" s="14" t="s">
        <v>69</v>
      </c>
      <c r="I20" s="14" t="s">
        <v>21</v>
      </c>
      <c r="J20" s="15" t="s">
        <v>29</v>
      </c>
      <c r="K20" s="9"/>
      <c r="L20" s="9" t="s">
        <v>64</v>
      </c>
    </row>
    <row r="21" customFormat="false" ht="28.5" hidden="false" customHeight="true" outlineLevel="0" collapsed="false">
      <c r="A21" s="9" t="s">
        <v>70</v>
      </c>
      <c r="B21" s="9" t="s">
        <v>71</v>
      </c>
      <c r="C21" s="10" t="n">
        <v>1</v>
      </c>
      <c r="D21" s="11" t="n">
        <v>1</v>
      </c>
      <c r="E21" s="12" t="n">
        <f aca="false">C21*D21</f>
        <v>1</v>
      </c>
      <c r="F21" s="13" t="s">
        <v>61</v>
      </c>
      <c r="G21" s="9" t="s">
        <v>27</v>
      </c>
      <c r="H21" s="14" t="s">
        <v>72</v>
      </c>
      <c r="I21" s="14" t="s">
        <v>21</v>
      </c>
      <c r="J21" s="15" t="s">
        <v>29</v>
      </c>
      <c r="K21" s="9"/>
      <c r="L21" s="9" t="s">
        <v>64</v>
      </c>
    </row>
    <row r="22" customFormat="false" ht="28.5" hidden="false" customHeight="true" outlineLevel="0" collapsed="false">
      <c r="A22" s="9" t="s">
        <v>73</v>
      </c>
      <c r="B22" s="9" t="s">
        <v>66</v>
      </c>
      <c r="C22" s="10" t="n">
        <v>1</v>
      </c>
      <c r="D22" s="11" t="n">
        <v>1</v>
      </c>
      <c r="E22" s="12" t="n">
        <f aca="false">C22*D22</f>
        <v>1</v>
      </c>
      <c r="F22" s="13" t="s">
        <v>61</v>
      </c>
      <c r="G22" s="9" t="s">
        <v>27</v>
      </c>
      <c r="H22" s="14" t="s">
        <v>74</v>
      </c>
      <c r="I22" s="14" t="s">
        <v>21</v>
      </c>
      <c r="J22" s="15" t="s">
        <v>29</v>
      </c>
      <c r="K22" s="9"/>
      <c r="L22" s="9" t="s">
        <v>64</v>
      </c>
    </row>
    <row r="23" customFormat="false" ht="28.5" hidden="false" customHeight="true" outlineLevel="0" collapsed="false">
      <c r="A23" s="9" t="s">
        <v>75</v>
      </c>
      <c r="B23" s="9" t="s">
        <v>66</v>
      </c>
      <c r="C23" s="10" t="n">
        <v>1</v>
      </c>
      <c r="D23" s="11" t="n">
        <v>1.5</v>
      </c>
      <c r="E23" s="12" t="n">
        <f aca="false">C23*D23</f>
        <v>1.5</v>
      </c>
      <c r="F23" s="13" t="s">
        <v>61</v>
      </c>
      <c r="G23" s="9" t="s">
        <v>27</v>
      </c>
      <c r="H23" s="14" t="s">
        <v>76</v>
      </c>
      <c r="I23" s="14" t="s">
        <v>21</v>
      </c>
      <c r="J23" s="15" t="s">
        <v>29</v>
      </c>
      <c r="K23" s="9"/>
      <c r="L23" s="9" t="s">
        <v>64</v>
      </c>
    </row>
    <row r="24" customFormat="false" ht="28.5" hidden="false" customHeight="true" outlineLevel="0" collapsed="false">
      <c r="A24" s="9" t="s">
        <v>77</v>
      </c>
      <c r="B24" s="9" t="s">
        <v>66</v>
      </c>
      <c r="C24" s="10" t="n">
        <v>1</v>
      </c>
      <c r="D24" s="11" t="n">
        <v>1.5</v>
      </c>
      <c r="E24" s="12" t="n">
        <f aca="false">C24*D24</f>
        <v>1.5</v>
      </c>
      <c r="F24" s="13" t="s">
        <v>61</v>
      </c>
      <c r="G24" s="9" t="s">
        <v>27</v>
      </c>
      <c r="H24" s="14" t="s">
        <v>78</v>
      </c>
      <c r="I24" s="14" t="s">
        <v>21</v>
      </c>
      <c r="J24" s="15" t="s">
        <v>29</v>
      </c>
      <c r="K24" s="9"/>
      <c r="L24" s="9" t="s">
        <v>64</v>
      </c>
    </row>
    <row r="25" customFormat="false" ht="28.5" hidden="false" customHeight="true" outlineLevel="0" collapsed="false">
      <c r="A25" s="9" t="s">
        <v>79</v>
      </c>
      <c r="B25" s="9" t="s">
        <v>43</v>
      </c>
      <c r="C25" s="10" t="n">
        <v>1</v>
      </c>
      <c r="D25" s="11" t="n">
        <v>1.5</v>
      </c>
      <c r="E25" s="12" t="n">
        <f aca="false">C25*D25</f>
        <v>1.5</v>
      </c>
      <c r="F25" s="13" t="s">
        <v>61</v>
      </c>
      <c r="G25" s="9" t="s">
        <v>27</v>
      </c>
      <c r="H25" s="14" t="s">
        <v>80</v>
      </c>
      <c r="I25" s="14" t="s">
        <v>21</v>
      </c>
      <c r="J25" s="15" t="s">
        <v>29</v>
      </c>
      <c r="K25" s="9"/>
      <c r="L25" s="9" t="s">
        <v>64</v>
      </c>
    </row>
    <row r="26" customFormat="false" ht="28.5" hidden="false" customHeight="true" outlineLevel="0" collapsed="false">
      <c r="A26" s="9" t="s">
        <v>81</v>
      </c>
      <c r="B26" s="9" t="s">
        <v>66</v>
      </c>
      <c r="C26" s="10" t="n">
        <v>1</v>
      </c>
      <c r="D26" s="11" t="n">
        <v>1.5</v>
      </c>
      <c r="E26" s="12" t="n">
        <f aca="false">C26*D26</f>
        <v>1.5</v>
      </c>
      <c r="F26" s="13" t="s">
        <v>61</v>
      </c>
      <c r="G26" s="9" t="s">
        <v>27</v>
      </c>
      <c r="H26" s="14" t="s">
        <v>82</v>
      </c>
      <c r="I26" s="14" t="s">
        <v>21</v>
      </c>
      <c r="J26" s="15" t="s">
        <v>29</v>
      </c>
      <c r="K26" s="9"/>
      <c r="L26" s="9" t="s">
        <v>64</v>
      </c>
    </row>
    <row r="27" customFormat="false" ht="28.5" hidden="false" customHeight="true" outlineLevel="0" collapsed="false">
      <c r="A27" s="9" t="s">
        <v>83</v>
      </c>
      <c r="B27" s="9" t="s">
        <v>43</v>
      </c>
      <c r="C27" s="10" t="n">
        <v>1</v>
      </c>
      <c r="D27" s="11" t="n">
        <v>2</v>
      </c>
      <c r="E27" s="12" t="n">
        <f aca="false">C27*D27</f>
        <v>2</v>
      </c>
      <c r="F27" s="13" t="s">
        <v>61</v>
      </c>
      <c r="G27" s="9" t="s">
        <v>27</v>
      </c>
      <c r="H27" s="14" t="s">
        <v>84</v>
      </c>
      <c r="I27" s="14" t="s">
        <v>21</v>
      </c>
      <c r="J27" s="15" t="s">
        <v>29</v>
      </c>
      <c r="K27" s="9"/>
      <c r="L27" s="9" t="s">
        <v>64</v>
      </c>
    </row>
    <row r="28" customFormat="false" ht="28.5" hidden="false" customHeight="true" outlineLevel="0" collapsed="false">
      <c r="A28" s="9" t="s">
        <v>85</v>
      </c>
      <c r="B28" s="9" t="s">
        <v>66</v>
      </c>
      <c r="C28" s="10" t="n">
        <v>1</v>
      </c>
      <c r="D28" s="11" t="n">
        <v>2</v>
      </c>
      <c r="E28" s="12" t="n">
        <f aca="false">C28*D28</f>
        <v>2</v>
      </c>
      <c r="F28" s="13" t="s">
        <v>61</v>
      </c>
      <c r="G28" s="9" t="s">
        <v>27</v>
      </c>
      <c r="H28" s="14" t="s">
        <v>86</v>
      </c>
      <c r="I28" s="14" t="s">
        <v>21</v>
      </c>
      <c r="J28" s="15" t="s">
        <v>29</v>
      </c>
      <c r="K28" s="9"/>
      <c r="L28" s="9" t="s">
        <v>64</v>
      </c>
    </row>
    <row r="29" customFormat="false" ht="28.5" hidden="false" customHeight="true" outlineLevel="0" collapsed="false">
      <c r="A29" s="9" t="s">
        <v>87</v>
      </c>
      <c r="B29" s="9" t="s">
        <v>18</v>
      </c>
      <c r="C29" s="10" t="n">
        <v>1</v>
      </c>
      <c r="D29" s="11" t="n">
        <v>2</v>
      </c>
      <c r="E29" s="12" t="n">
        <f aca="false">C29*D29</f>
        <v>2</v>
      </c>
      <c r="F29" s="13" t="s">
        <v>61</v>
      </c>
      <c r="G29" s="9" t="s">
        <v>27</v>
      </c>
      <c r="H29" s="14" t="s">
        <v>88</v>
      </c>
      <c r="I29" s="14" t="s">
        <v>21</v>
      </c>
      <c r="J29" s="15" t="s">
        <v>29</v>
      </c>
      <c r="K29" s="9"/>
      <c r="L29" s="9" t="s">
        <v>64</v>
      </c>
    </row>
    <row r="30" customFormat="false" ht="28.5" hidden="false" customHeight="true" outlineLevel="0" collapsed="false">
      <c r="A30" s="9" t="s">
        <v>89</v>
      </c>
      <c r="B30" s="9" t="s">
        <v>18</v>
      </c>
      <c r="C30" s="10" t="n">
        <v>1</v>
      </c>
      <c r="D30" s="11" t="n">
        <v>2</v>
      </c>
      <c r="E30" s="12" t="n">
        <f aca="false">C30*D30</f>
        <v>2</v>
      </c>
      <c r="F30" s="13" t="s">
        <v>61</v>
      </c>
      <c r="G30" s="9" t="s">
        <v>27</v>
      </c>
      <c r="H30" s="14" t="s">
        <v>90</v>
      </c>
      <c r="I30" s="14" t="s">
        <v>21</v>
      </c>
      <c r="J30" s="15" t="s">
        <v>29</v>
      </c>
      <c r="K30" s="9"/>
      <c r="L30" s="9" t="s">
        <v>64</v>
      </c>
    </row>
    <row r="31" customFormat="false" ht="28.5" hidden="false" customHeight="true" outlineLevel="0" collapsed="false">
      <c r="A31" s="9" t="s">
        <v>91</v>
      </c>
      <c r="B31" s="9" t="s">
        <v>43</v>
      </c>
      <c r="C31" s="10" t="n">
        <v>1</v>
      </c>
      <c r="D31" s="11" t="n">
        <v>1</v>
      </c>
      <c r="E31" s="12" t="n">
        <f aca="false">C31*D31</f>
        <v>1</v>
      </c>
      <c r="F31" s="13" t="s">
        <v>61</v>
      </c>
      <c r="G31" s="9" t="s">
        <v>27</v>
      </c>
      <c r="H31" s="14" t="s">
        <v>92</v>
      </c>
      <c r="I31" s="14" t="s">
        <v>21</v>
      </c>
      <c r="J31" s="15" t="s">
        <v>29</v>
      </c>
      <c r="K31" s="9"/>
      <c r="L31" s="9" t="s">
        <v>64</v>
      </c>
    </row>
    <row r="32" customFormat="false" ht="28.5" hidden="false" customHeight="true" outlineLevel="0" collapsed="false">
      <c r="A32" s="9" t="s">
        <v>93</v>
      </c>
      <c r="B32" s="9" t="s">
        <v>66</v>
      </c>
      <c r="C32" s="10" t="n">
        <v>1</v>
      </c>
      <c r="D32" s="11" t="n">
        <v>1</v>
      </c>
      <c r="E32" s="12" t="n">
        <f aca="false">C32*D32</f>
        <v>1</v>
      </c>
      <c r="F32" s="13" t="s">
        <v>61</v>
      </c>
      <c r="G32" s="9" t="s">
        <v>27</v>
      </c>
      <c r="H32" s="14" t="s">
        <v>94</v>
      </c>
      <c r="I32" s="14" t="s">
        <v>21</v>
      </c>
      <c r="J32" s="15" t="s">
        <v>29</v>
      </c>
      <c r="K32" s="9"/>
      <c r="L32" s="9" t="s">
        <v>64</v>
      </c>
    </row>
    <row r="33" customFormat="false" ht="28.5" hidden="false" customHeight="true" outlineLevel="0" collapsed="false">
      <c r="A33" s="9" t="s">
        <v>95</v>
      </c>
      <c r="B33" s="9" t="s">
        <v>18</v>
      </c>
      <c r="C33" s="10" t="n">
        <v>1</v>
      </c>
      <c r="D33" s="11" t="n">
        <v>1</v>
      </c>
      <c r="E33" s="12" t="n">
        <f aca="false">C33*D33</f>
        <v>1</v>
      </c>
      <c r="F33" s="13" t="s">
        <v>61</v>
      </c>
      <c r="G33" s="9" t="s">
        <v>27</v>
      </c>
      <c r="H33" s="14" t="s">
        <v>96</v>
      </c>
      <c r="I33" s="14" t="s">
        <v>21</v>
      </c>
      <c r="J33" s="15" t="s">
        <v>29</v>
      </c>
      <c r="K33" s="9"/>
      <c r="L33" s="9" t="s">
        <v>64</v>
      </c>
    </row>
    <row r="34" customFormat="false" ht="28.5" hidden="false" customHeight="true" outlineLevel="0" collapsed="false">
      <c r="A34" s="9" t="s">
        <v>97</v>
      </c>
      <c r="B34" s="9" t="s">
        <v>66</v>
      </c>
      <c r="C34" s="10" t="n">
        <v>1</v>
      </c>
      <c r="D34" s="11" t="n">
        <v>1</v>
      </c>
      <c r="E34" s="12" t="n">
        <f aca="false">C34*D34</f>
        <v>1</v>
      </c>
      <c r="F34" s="13" t="s">
        <v>61</v>
      </c>
      <c r="G34" s="9" t="s">
        <v>27</v>
      </c>
      <c r="H34" s="14" t="s">
        <v>98</v>
      </c>
      <c r="I34" s="14" t="s">
        <v>21</v>
      </c>
      <c r="J34" s="15" t="s">
        <v>29</v>
      </c>
      <c r="K34" s="9"/>
      <c r="L34" s="9" t="s">
        <v>64</v>
      </c>
    </row>
    <row r="35" customFormat="false" ht="28.5" hidden="false" customHeight="true" outlineLevel="0" collapsed="false">
      <c r="A35" s="9" t="s">
        <v>99</v>
      </c>
      <c r="B35" s="9" t="s">
        <v>18</v>
      </c>
      <c r="C35" s="10" t="n">
        <v>1</v>
      </c>
      <c r="D35" s="11" t="n">
        <v>1</v>
      </c>
      <c r="E35" s="12" t="n">
        <f aca="false">C35*D35</f>
        <v>1</v>
      </c>
      <c r="F35" s="13" t="s">
        <v>61</v>
      </c>
      <c r="G35" s="9" t="s">
        <v>27</v>
      </c>
      <c r="H35" s="14" t="s">
        <v>100</v>
      </c>
      <c r="I35" s="20"/>
      <c r="J35" s="15" t="s">
        <v>29</v>
      </c>
      <c r="K35" s="9"/>
      <c r="L35" s="9" t="s">
        <v>64</v>
      </c>
    </row>
    <row r="36" customFormat="false" ht="15" hidden="false" customHeight="false" outlineLevel="0" collapsed="false">
      <c r="A36" s="17" t="s">
        <v>101</v>
      </c>
      <c r="B36" s="18"/>
      <c r="C36" s="18"/>
      <c r="D36" s="18"/>
      <c r="E36" s="19" t="n">
        <f aca="false">SUM(E18:E35)</f>
        <v>24</v>
      </c>
      <c r="F36" s="18"/>
      <c r="G36" s="18"/>
      <c r="H36" s="18"/>
      <c r="I36" s="18"/>
      <c r="J36" s="18"/>
      <c r="K36" s="18"/>
      <c r="L36" s="18"/>
    </row>
    <row r="38" customFormat="false" ht="18" hidden="false" customHeight="true" outlineLevel="0" collapsed="false">
      <c r="A38" s="21" t="s">
        <v>102</v>
      </c>
      <c r="B38" s="21"/>
      <c r="C38" s="21"/>
      <c r="D38" s="21"/>
      <c r="E38" s="22" t="n">
        <f aca="false">E15+E36</f>
        <v>65.5</v>
      </c>
      <c r="F38" s="21"/>
      <c r="G38" s="21"/>
      <c r="H38" s="21"/>
      <c r="I38" s="21"/>
      <c r="J38" s="21"/>
      <c r="K38" s="21"/>
      <c r="L38" s="21"/>
    </row>
    <row r="40" customFormat="false" ht="15" hidden="false" customHeight="false" outlineLevel="0" collapsed="false">
      <c r="A40" s="8" t="s">
        <v>103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28.5" hidden="false" customHeight="true" outlineLevel="0" collapsed="false">
      <c r="A41" s="9" t="s">
        <v>104</v>
      </c>
      <c r="B41" s="9" t="s">
        <v>66</v>
      </c>
      <c r="C41" s="10" t="n">
        <v>1</v>
      </c>
      <c r="D41" s="11" t="n">
        <v>6</v>
      </c>
      <c r="E41" s="12" t="n">
        <f aca="false">C41*D41</f>
        <v>6</v>
      </c>
      <c r="F41" s="13" t="s">
        <v>105</v>
      </c>
      <c r="G41" s="9" t="s">
        <v>106</v>
      </c>
      <c r="H41" s="14" t="s">
        <v>107</v>
      </c>
      <c r="I41" s="14" t="s">
        <v>21</v>
      </c>
      <c r="J41" s="15" t="s">
        <v>29</v>
      </c>
      <c r="K41" s="9" t="s">
        <v>108</v>
      </c>
      <c r="L41" s="9" t="s">
        <v>109</v>
      </c>
    </row>
    <row r="42" customFormat="false" ht="15.75" hidden="false" customHeight="true" outlineLevel="0" collapsed="false">
      <c r="A42" s="9" t="s">
        <v>110</v>
      </c>
      <c r="B42" s="9" t="s">
        <v>111</v>
      </c>
      <c r="C42" s="10" t="n">
        <v>1</v>
      </c>
      <c r="D42" s="11" t="n">
        <v>5</v>
      </c>
      <c r="E42" s="12" t="n">
        <f aca="false">C42*D42</f>
        <v>5</v>
      </c>
      <c r="F42" s="23" t="s">
        <v>112</v>
      </c>
      <c r="G42" s="9" t="s">
        <v>113</v>
      </c>
      <c r="H42" s="20"/>
      <c r="I42" s="20"/>
      <c r="J42" s="15"/>
      <c r="K42" s="9" t="s">
        <v>114</v>
      </c>
      <c r="L42" s="9" t="s">
        <v>115</v>
      </c>
    </row>
    <row r="43" customFormat="false" ht="28.5" hidden="false" customHeight="true" outlineLevel="0" collapsed="false">
      <c r="A43" s="9" t="s">
        <v>116</v>
      </c>
      <c r="B43" s="9" t="s">
        <v>117</v>
      </c>
      <c r="C43" s="10" t="n">
        <v>1</v>
      </c>
      <c r="D43" s="11" t="n">
        <v>11</v>
      </c>
      <c r="E43" s="12" t="n">
        <f aca="false">C43*D43</f>
        <v>11</v>
      </c>
      <c r="F43" s="23" t="s">
        <v>112</v>
      </c>
      <c r="G43" s="9" t="s">
        <v>118</v>
      </c>
      <c r="H43" s="20"/>
      <c r="I43" s="20"/>
      <c r="J43" s="15"/>
      <c r="K43" s="9" t="s">
        <v>119</v>
      </c>
      <c r="L43" s="9" t="s">
        <v>120</v>
      </c>
    </row>
    <row r="44" customFormat="false" ht="15.75" hidden="false" customHeight="true" outlineLevel="0" collapsed="false">
      <c r="A44" s="9" t="s">
        <v>121</v>
      </c>
      <c r="B44" s="9" t="s">
        <v>18</v>
      </c>
      <c r="C44" s="10" t="n">
        <v>1</v>
      </c>
      <c r="D44" s="11" t="n">
        <v>3</v>
      </c>
      <c r="E44" s="12" t="n">
        <f aca="false">C44*D44</f>
        <v>3</v>
      </c>
      <c r="F44" s="23" t="s">
        <v>112</v>
      </c>
      <c r="G44" s="9" t="s">
        <v>122</v>
      </c>
      <c r="H44" s="20"/>
      <c r="I44" s="20"/>
      <c r="J44" s="15"/>
      <c r="K44" s="9" t="s">
        <v>123</v>
      </c>
      <c r="L44" s="9" t="s">
        <v>124</v>
      </c>
    </row>
    <row r="45" customFormat="false" ht="15" hidden="false" customHeight="false" outlineLevel="0" collapsed="false">
      <c r="A45" s="17" t="s">
        <v>125</v>
      </c>
      <c r="B45" s="18"/>
      <c r="C45" s="18"/>
      <c r="D45" s="18"/>
      <c r="E45" s="19" t="n">
        <f aca="false">SUM(E41:E44)</f>
        <v>25</v>
      </c>
      <c r="F45" s="18"/>
      <c r="G45" s="18"/>
      <c r="H45" s="18"/>
      <c r="I45" s="18"/>
      <c r="J45" s="18"/>
      <c r="K45" s="18"/>
      <c r="L45" s="18"/>
    </row>
    <row r="46" customFormat="false" ht="15" hidden="false" customHeight="false" outlineLevel="0" collapsed="false">
      <c r="A46" s="3" t="s">
        <v>126</v>
      </c>
      <c r="E46" s="6" t="n">
        <f aca="false">E38+E45</f>
        <v>90.5</v>
      </c>
    </row>
    <row r="48" customFormat="false" ht="15" hidden="false" customHeight="false" outlineLevel="0" collapsed="false">
      <c r="A48" s="8" t="s">
        <v>127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true" outlineLevel="0" collapsed="false">
      <c r="A49" s="24" t="s">
        <v>128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customFormat="false" ht="15" hidden="false" customHeight="true" outlineLevel="0" collapsed="false">
      <c r="A50" s="24" t="s">
        <v>129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2" customFormat="false" ht="15" hidden="false" customHeight="false" outlineLevel="0" collapsed="false">
      <c r="A52" s="8" t="s">
        <v>130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true" outlineLevel="0" collapsed="false">
      <c r="A53" s="25" t="s">
        <v>131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" hidden="false" customHeight="true" outlineLevel="0" collapsed="false">
      <c r="A54" s="25" t="s">
        <v>132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" hidden="false" customHeight="true" outlineLevel="0" collapsed="false">
      <c r="A55" s="25" t="s">
        <v>133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" hidden="false" customHeight="true" outlineLevel="0" collapsed="false">
      <c r="A56" s="25" t="s">
        <v>134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" hidden="false" customHeight="true" outlineLevel="0" collapsed="false">
      <c r="A57" s="25" t="s">
        <v>135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" hidden="false" customHeight="true" outlineLevel="0" collapsed="false">
      <c r="A58" s="25" t="s">
        <v>136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</sheetData>
  <mergeCells count="8">
    <mergeCell ref="A49:L49"/>
    <mergeCell ref="A50:L50"/>
    <mergeCell ref="A53:L53"/>
    <mergeCell ref="A54:L54"/>
    <mergeCell ref="A55:L55"/>
    <mergeCell ref="A56:L56"/>
    <mergeCell ref="A57:L57"/>
    <mergeCell ref="A58:L58"/>
  </mergeCells>
  <conditionalFormatting sqref="F3">
    <cfRule type="expression" priority="2" aboveAverage="0" equalAverage="0" bottom="0" percent="0" rank="0" text="" dxfId="0">
      <formula>$E$3&lt;=$B$3</formula>
    </cfRule>
    <cfRule type="expression" priority="3" aboveAverage="0" equalAverage="0" bottom="0" percent="0" rank="0" text="" dxfId="1">
      <formula>$E$3&gt;$B$3</formula>
    </cfRule>
  </conditionalFormatting>
  <hyperlinks>
    <hyperlink ref="H7" r:id="rId1" display="AliExpress – DAZ's link"/>
    <hyperlink ref="I7" r:id="rId2" display="Bunnings search: M8 threaded rod"/>
    <hyperlink ref="H8" r:id="rId3" display="AliExpress search: Pro Micro USB-C"/>
    <hyperlink ref="I8" r:id="rId4" display="AliExpress – DAZ's link"/>
    <hyperlink ref="H9" r:id="rId5" display="AliExpress search: MGN12H 100 mm"/>
    <hyperlink ref="I9" r:id="rId6" display="AliExpress – DAZ's link"/>
    <hyperlink ref="H10" r:id="rId7" display="AliExpress – DAZ's link"/>
    <hyperlink ref="I10" r:id="rId8" display="AliExpress search: M8 female rod end"/>
    <hyperlink ref="H11" r:id="rId9" display="AliExpress – DAZ's link"/>
    <hyperlink ref="I11" r:id="rId10" display="AliExpress search: M8 male rod end"/>
    <hyperlink ref="H12" r:id="rId11" display="AliExpress search: spring 1.2 × 9 × 30 mm"/>
    <hyperlink ref="I12" r:id="rId12" display="AliExpress – DAZ's link"/>
    <hyperlink ref="H13" r:id="rId13" display="AliExpress search: KW11-3Z roller 10 pcs"/>
    <hyperlink ref="I13" r:id="rId14" display="AliExpress – DAZ's link"/>
    <hyperlink ref="H14" r:id="rId15" display="AliExpress search: MR126ZZ"/>
    <hyperlink ref="I14" r:id="rId16" display="AliExpress – DAZ's link"/>
    <hyperlink ref="H18" r:id="rId17" display="AliExpress search: M2.5x12 self-tapping"/>
    <hyperlink ref="I18" r:id="rId18" display="AliExpress – DAZ's link"/>
    <hyperlink ref="H19" r:id="rId19" display="AliExpress search: M3x16 self-tapping"/>
    <hyperlink ref="I19" r:id="rId20" display="AliExpress – DAZ's link"/>
    <hyperlink ref="H20" r:id="rId21" display="AliExpress search: M3x8 countersunk"/>
    <hyperlink ref="I20" r:id="rId22" display="AliExpress – DAZ's link"/>
    <hyperlink ref="H21" r:id="rId23" display="AliExpress search: M4x16 socket head"/>
    <hyperlink ref="I21" r:id="rId24" display="AliExpress – DAZ's link"/>
    <hyperlink ref="H22" r:id="rId25" display="AliExpress search: M4x20 socket head"/>
    <hyperlink ref="I22" r:id="rId26" display="AliExpress – DAZ's link"/>
    <hyperlink ref="H23" r:id="rId27" display="AliExpress search: M5x12 socket head"/>
    <hyperlink ref="I23" r:id="rId28" display="AliExpress – DAZ's link"/>
    <hyperlink ref="H24" r:id="rId29" display="AliExpress search: M5x20 socket head"/>
    <hyperlink ref="I24" r:id="rId30" display="AliExpress – DAZ's link"/>
    <hyperlink ref="H25" r:id="rId31" display="AliExpress search: M5x30 socket head"/>
    <hyperlink ref="I25" r:id="rId32" display="AliExpress – DAZ's link"/>
    <hyperlink ref="H26" r:id="rId33" display="AliExpress search: M5x40 socket head"/>
    <hyperlink ref="I26" r:id="rId34" display="AliExpress – DAZ's link"/>
    <hyperlink ref="H27" r:id="rId35" display="AliExpress search: M6x20 button head"/>
    <hyperlink ref="I27" r:id="rId36" display="AliExpress – DAZ's link"/>
    <hyperlink ref="H28" r:id="rId37" display="AliExpress search: M6x35 button head"/>
    <hyperlink ref="I28" r:id="rId38" display="AliExpress – DAZ's link"/>
    <hyperlink ref="H29" r:id="rId39" display="AliExpress search: M8x25 button head"/>
    <hyperlink ref="I29" r:id="rId40" display="AliExpress – DAZ's link"/>
    <hyperlink ref="H30" r:id="rId41" display="AliExpress search: M8x50 hex bolt"/>
    <hyperlink ref="I30" r:id="rId42" display="AliExpress – DAZ's link"/>
    <hyperlink ref="H31" r:id="rId43" display="AliExpress search: M4 nut"/>
    <hyperlink ref="I31" r:id="rId44" display="AliExpress – DAZ's link"/>
    <hyperlink ref="H32" r:id="rId45" display="AliExpress search: M5 nut"/>
    <hyperlink ref="I32" r:id="rId46" display="AliExpress – DAZ's link"/>
    <hyperlink ref="H33" r:id="rId47" display="AliExpress search: M6 nut"/>
    <hyperlink ref="I33" r:id="rId48" display="AliExpress – DAZ's link"/>
    <hyperlink ref="H34" r:id="rId49" display="AliExpress search: M8 nut"/>
    <hyperlink ref="I34" r:id="rId50" display="AliExpress – DAZ's link"/>
    <hyperlink ref="H35" r:id="rId51" display="AliExpress search: M8 washer"/>
    <hyperlink ref="H41" r:id="rId52" display="AliExpress search: 608ZZ"/>
    <hyperlink ref="I41" r:id="rId53" display="AliExpress – DAZ's 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2026-10-03T08:01:19Z</dcterms:created>
  <dc:creator>openpyxl</dc:creator>
  <dc:description/>
  <dc:language>en-US</dc:language>
  <cp:lastModifiedBy/>
  <dcterms:modified xsi:type="dcterms:W3CDTF">2026-10-03T08:01:19Z</dcterms:modified>
  <cp:revision>0</cp:revision>
  <dc:subject>Parts list in AUD</dc:subject>
  <dc:title>DAZ Projects Shifter V2 (H-pattern + sequential) – budget parts list (AUD)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