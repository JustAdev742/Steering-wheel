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three – best value" sheetId="1" state="visible" r:id="rId3"/>
  </sheets>
  <definedNames>
    <definedName function="false" hidden="false" localSheetId="0" name="_xlnm.Print_Titles" vbProcedure="false">'All three – best value'!$6:$6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<sst xmlns="http://schemas.openxmlformats.org/spreadsheetml/2006/main" count="662" uniqueCount="358">
  <si>
    <t xml:space="preserve">DAZ wheel + shifter + pedals – best-value parts list for all three (AUD)</t>
  </si>
  <si>
    <t xml:space="preserve">All three builds in one order: shared screws bought once, free parts scrounged, nothing that makes the build worse. Prices are estimates in AUD incl. 10% GST, checked 3 Oct 2026. AliExpress prices change daily – edit the blue cells and everything re-totals. Every part has a main link and a backup link in case a listing sells out.</t>
  </si>
  <si>
    <t xml:space="preserve">Your target (AUD) – edit the yellow cell</t>
  </si>
  <si>
    <t xml:space="preserve">Total</t>
  </si>
  <si>
    <t xml:space="preserve">Lowest possible – every trade-off in section 7</t>
  </si>
  <si>
    <t xml:space="preserve">Component</t>
  </si>
  <si>
    <t xml:space="preserve">Need</t>
  </si>
  <si>
    <t xml:space="preserve">Buy</t>
  </si>
  <si>
    <t xml:space="preserve">Each (AUD)</t>
  </si>
  <si>
    <t xml:space="preserve">Total (AUD)</t>
  </si>
  <si>
    <t xml:space="preserve">Change vs DAZ's list</t>
  </si>
  <si>
    <t xml:space="preserve">Where to buy</t>
  </si>
  <si>
    <t xml:space="preserve">Main link</t>
  </si>
  <si>
    <t xml:space="preserve">Backup link</t>
  </si>
  <si>
    <t xml:space="preserve">Listing check</t>
  </si>
  <si>
    <t xml:space="preserve">Notes</t>
  </si>
  <si>
    <t xml:space="preserve">Price basis</t>
  </si>
  <si>
    <t xml:space="preserve">1. STEERING WHEEL</t>
  </si>
  <si>
    <t xml:space="preserve">MKS XDrive Mini motor controller (ODrive 3.6 based)</t>
  </si>
  <si>
    <t xml:space="preserve">1</t>
  </si>
  <si>
    <t xml:space="preserve">Kept – DAZ's exact part</t>
  </si>
  <si>
    <t xml:space="preserve">AliExpress</t>
  </si>
  <si>
    <t xml:space="preserve">AliExpress – DAZ's link</t>
  </si>
  <si>
    <t xml:space="preserve">AliExpress search: MKS XDrive Mini</t>
  </si>
  <si>
    <t xml:space="preserve">Live (3 Oct 2026)</t>
  </si>
  <si>
    <t xml:space="preserve">The one part with no cheap substitute. Runs FFBeast's free 'light' mode – the paid licence only adds extras DAZ's design doesn't use. Check the listing includes the brake resistor. Cheapest time to buy: AliExpress's 11.11 sale (11 Nov) or with new-user coupons.</t>
  </si>
  <si>
    <t xml:space="preserve">DAZ's link: €29.92 sale (May 2025) ≈ AUD 44 incl. GST. 2026 US-store listings US$37–41 ≈ AUD 59–65 incl. GST. Estimate AUD 50.</t>
  </si>
  <si>
    <t xml:space="preserve">6.5" hoverboard motor</t>
  </si>
  <si>
    <t xml:space="preserve">Already have – $0</t>
  </si>
  <si>
    <t xml:space="preserve">You already own it</t>
  </si>
  <si>
    <t xml:space="preserve">Check it's a 6.5" (165 mm) motor that spins freely without grinding – DAZ's mount is sized for 6.5".</t>
  </si>
  <si>
    <t xml:space="preserve">You own it.</t>
  </si>
  <si>
    <t xml:space="preserve">Rotary encoder E6B2-CWZ6C, 1000–2000 P/R (6 mm shaft, NPN)</t>
  </si>
  <si>
    <t xml:space="preserve">AliExpress search: E6B2-CWZ6C</t>
  </si>
  <si>
    <t xml:space="preserve">Link OK – page not auto-checked</t>
  </si>
  <si>
    <t xml:space="preserve">DAZ's encoder mount is made for this body, and high resolution gives smooth force feedback, so it stays. 1000 P/R is plenty if it's cheaper (FFBeast asks for ≥1000 counts per turn). NPN output – needs the pull-up resistors below.</t>
  </si>
  <si>
    <t xml:space="preserve">DAZ's link: US$13.53 (May 2025) ≈ AUD 21.50 incl. GST; similar 2026 listings US$13.70–15.30.</t>
  </si>
  <si>
    <t xml:space="preserve">Steering wheel rim, 13" / 330 mm flat, aluminium + PVC</t>
  </si>
  <si>
    <t xml:space="preserve">Kept – DAZ's exact part (PVC version)</t>
  </si>
  <si>
    <t xml:space="preserve">AliExpress search: 13" flat wheel</t>
  </si>
  <si>
    <t xml:space="preserve">DAZ: "get this, I can't guarantee this build works with a different one". Pick the PVC option – it's the cheapest. If his listing ever disappears, choose a 13-inch flat-dish wheel with the 6 × 70 mm bolt pattern.</t>
  </si>
  <si>
    <t xml:space="preserve">2026 AliExpress: 13" PVC flat wheels US$20–27 ≈ AUD 32–43 incl. GST (suede US$47–55). Estimate AUD 38.</t>
  </si>
  <si>
    <t xml:space="preserve">GT2 timing pulley, 20T, 6 mm bore, 6 mm belt</t>
  </si>
  <si>
    <t xml:space="preserve">Cheaper – any seller, same size</t>
  </si>
  <si>
    <t xml:space="preserve">AliExpress search: GT2 20T 6 mm bore</t>
  </si>
  <si>
    <t xml:space="preserve">Search – in-stock sellers</t>
  </si>
  <si>
    <t xml:space="preserve">Standard part – any seller with these sizes. Goes on the encoder shaft.</t>
  </si>
  <si>
    <t xml:space="preserve">Typical listing US$1–1.50.</t>
  </si>
  <si>
    <t xml:space="preserve">GT2 closed-loop belt, 212 mm, 6 mm wide</t>
  </si>
  <si>
    <t xml:space="preserve">AliExpress search: GT2 belt 212 mm</t>
  </si>
  <si>
    <t xml:space="preserve">Must be a closed loop, 212 mm long, 6 mm wide.</t>
  </si>
  <si>
    <t xml:space="preserve">Typical listing US$1–2.</t>
  </si>
  <si>
    <t xml:space="preserve">GT2 idler, 20T toothed, 5 mm bore, 6 mm wide</t>
  </si>
  <si>
    <t xml:space="preserve">AliExpress search: GT2 idler 20T 5 mm</t>
  </si>
  <si>
    <t xml:space="preserve">Keeps the encoder belt tight.</t>
  </si>
  <si>
    <t xml:space="preserve">DAZ's link: US$2.24 (May 2025) ≈ AUD 3.55 incl. GST.</t>
  </si>
  <si>
    <t xml:space="preserve">Power supply, 24 V 10 A (240 W), AU plug</t>
  </si>
  <si>
    <t xml:space="preserve">AliExpress search: 24V 10A power supply</t>
  </si>
  <si>
    <t xml:space="preserve">The full 240 W gives the full force. Pick an enclosed 'adapter' type with an AU plug, so there's no 240 V wiring to do. Any brand works.</t>
  </si>
  <si>
    <t xml:space="preserve">DAZ's link: US$11.15 (May 2025) ≈ AUD 18 incl. GST. Estimate AUD 20.</t>
  </si>
  <si>
    <t xml:space="preserve">XT60 connector pair (male + female)</t>
  </si>
  <si>
    <t xml:space="preserve">1 pair</t>
  </si>
  <si>
    <t xml:space="preserve">Cheaper – any seller, same size (smallest pack)</t>
  </si>
  <si>
    <t xml:space="preserve">AliExpress search: XT60 pair</t>
  </si>
  <si>
    <t xml:space="preserve">Power plug between the PSU and the controller – one pair is enough.</t>
  </si>
  <si>
    <t xml:space="preserve">Small packs ≈ US$1–2.</t>
  </si>
  <si>
    <t xml:space="preserve">Motor axle clamp, 16 × 16 mm cross clamp</t>
  </si>
  <si>
    <t xml:space="preserve">AliExpress search: 16 mm cross clamp</t>
  </si>
  <si>
    <t xml:space="preserve">Part of DAZ's V2 mount – his printed parts are designed around it.</t>
  </si>
  <si>
    <t xml:space="preserve">Typical listing US$3–5.</t>
  </si>
  <si>
    <t xml:space="preserve">Aluminium tube, 16 mm OD (cut to 100 mm)</t>
  </si>
  <si>
    <t xml:space="preserve">100 mm</t>
  </si>
  <si>
    <t xml:space="preserve">Kept – DAZ's exact part (shortest length)</t>
  </si>
  <si>
    <t xml:space="preserve">AliExpress search: 16 mm aluminium tube</t>
  </si>
  <si>
    <t xml:space="preserve">Pick 16 mm outside diameter and the shortest length (e.g. 250 mm); cut to 100 mm with a hacksaw.</t>
  </si>
  <si>
    <t xml:space="preserve">Typical 250 mm length US$2–3.50.</t>
  </si>
  <si>
    <t xml:space="preserve">Quick-release clamp, Arca-Swiss (DAZ's cheaper 'option 2')</t>
  </si>
  <si>
    <t xml:space="preserve">Kept – DAZ's exact part (cheaper option)</t>
  </si>
  <si>
    <t xml:space="preserve">AliExpress search: Arca-Swiss clamp</t>
  </si>
  <si>
    <t xml:space="preserve">How DAZ's V2 base attaches to the desk or your frame ("aluminum Quick-Release to detach from the desk"). His listing is titled as a plate – pick the clamp option; any Arca-Swiss clamp grips the plate below.</t>
  </si>
  <si>
    <t xml:space="preserve">Cheap Arca-Swiss clamps US$5–11 (2026) ≈ AUD 8–17.50 incl. GST.</t>
  </si>
  <si>
    <t xml:space="preserve">Quick-release plate, Arca-Swiss, 100 mm</t>
  </si>
  <si>
    <t xml:space="preserve">AliExpress search: Arca plate 100 mm</t>
  </si>
  <si>
    <t xml:space="preserve">Goes with the clamp above.</t>
  </si>
  <si>
    <t xml:space="preserve">Encoder pull-up resistors, ≈1–4.7 kΩ (A, B, Z lines)</t>
  </si>
  <si>
    <t xml:space="preserve">3</t>
  </si>
  <si>
    <t xml:space="preserve">New – not on DAZ's list</t>
  </si>
  <si>
    <t xml:space="preserve">AliExpress / Jaycar</t>
  </si>
  <si>
    <t xml:space="preserve">AliExpress search: 2.2k resistors</t>
  </si>
  <si>
    <t xml:space="preserve">AliExpress search: resistor kit</t>
  </si>
  <si>
    <t xml:space="preserve">FFBeast's encoder guide says NPN encoders like the E6B2 "REQUIRES PULL UP resistors on signal lines". Value and placement per DAZ's / FFBeast's wiring diagram.</t>
  </si>
  <si>
    <t xml:space="preserve">A 10–50 pack ≈ AUD 1.</t>
  </si>
  <si>
    <t xml:space="preserve">Subtotal – steering wheel</t>
  </si>
  <si>
    <t xml:space="preserve">2. SHIFTER</t>
  </si>
  <si>
    <t xml:space="preserve">Arduino Pro Micro (ATmega32U4, 5 V / 16 MHz), USB-C</t>
  </si>
  <si>
    <t xml:space="preserve">AliExpress search: Pro Micro USB-C</t>
  </si>
  <si>
    <t xml:space="preserve">Must be ATmega32U4, 5 V / 16 MHz, USB-C. Runs DAZ's shifter code.</t>
  </si>
  <si>
    <t xml:space="preserve">Typical listing US$3.50–5 ≈ AUD 5.50–8 incl. GST.</t>
  </si>
  <si>
    <t xml:space="preserve">MGN12H linear rail, 100 mm, with H block</t>
  </si>
  <si>
    <t xml:space="preserve">AliExpress search: MGN12H 100 mm</t>
  </si>
  <si>
    <t xml:space="preserve">Must be the long MGN12H block, not MGN12C (DAZ's warning).</t>
  </si>
  <si>
    <t xml:space="preserve">2026 listings ≈ US$4–6 for 100 mm with block.</t>
  </si>
  <si>
    <t xml:space="preserve">M8 female ball joint (rod end), right-hand thread</t>
  </si>
  <si>
    <t xml:space="preserve">AliExpress search: M8 female rod end</t>
  </si>
  <si>
    <t xml:space="preserve">Typical listing US$2–3.</t>
  </si>
  <si>
    <t xml:space="preserve">M8 male ball joint</t>
  </si>
  <si>
    <t xml:space="preserve">AliExpress search: M8 male rod end</t>
  </si>
  <si>
    <t xml:space="preserve">Compression springs, 1.2 mm wire × 9 mm OD × 30 mm</t>
  </si>
  <si>
    <t xml:space="preserve">4</t>
  </si>
  <si>
    <t xml:space="preserve">AliExpress search: spring 1.2 × 9 × 30 mm</t>
  </si>
  <si>
    <t xml:space="preserve">The shift feel comes from these exact sizes – match wire 1.2 mm, OD 9 mm, length 30 mm.</t>
  </si>
  <si>
    <t xml:space="preserve">Small pack ≈ US$2–3.</t>
  </si>
  <si>
    <t xml:space="preserve">Micro switches with roller lever (KW11-3Z type), 10-pack</t>
  </si>
  <si>
    <t xml:space="preserve">5</t>
  </si>
  <si>
    <t xml:space="preserve">AliExpress search: KW11-3Z roller 10 pcs</t>
  </si>
  <si>
    <t xml:space="preserve">A 10-pack leaves 5 spare – enough for the wheel's paddles later.</t>
  </si>
  <si>
    <t xml:space="preserve">US$3.57 per 10 (May 2025) ≈ AUD 5.70.</t>
  </si>
  <si>
    <t xml:space="preserve">Bearings 6 × 12 × 4 mm (MR126ZZ), 10-pack</t>
  </si>
  <si>
    <t xml:space="preserve">7</t>
  </si>
  <si>
    <t xml:space="preserve">Cheaper – chrome steel, not stainless</t>
  </si>
  <si>
    <t xml:space="preserve">AliExpress search: MR126ZZ</t>
  </si>
  <si>
    <t xml:space="preserve">DAZ linked stainless SMR126-2RS. Plain chrome-steel MR126ZZ is the same size and plenty for a shifter.</t>
  </si>
  <si>
    <t xml:space="preserve">MR126ZZ 10-packs ≈ US$2–3; stainless SMR126 ≈ US$4–6.</t>
  </si>
  <si>
    <t xml:space="preserve">Subtotal – shifter</t>
  </si>
  <si>
    <t xml:space="preserve">3. PEDALS</t>
  </si>
  <si>
    <t xml:space="preserve">Load cell, 150 kg</t>
  </si>
  <si>
    <t xml:space="preserve">AliExpress search: 150 kg load cell</t>
  </si>
  <si>
    <t xml:space="preserve">What makes the brake feel real. DAZ's brake pedal is designed for this load cell, so stick to his listing.</t>
  </si>
  <si>
    <t xml:space="preserve">DAZ's link: €13.39 (May 2025) ≈ AUD 19.60 incl. GST.</t>
  </si>
  <si>
    <t xml:space="preserve">Arduino Leonardo R3 (ATmega32U4)</t>
  </si>
  <si>
    <t xml:space="preserve">AliExpress search: Leonardo R3</t>
  </si>
  <si>
    <t xml:space="preserve">Any Leonardo R3 clone runs DAZ's pedal code. Need it today? Jaycar and Core Electronics sell compatible boards, but dearer.</t>
  </si>
  <si>
    <t xml:space="preserve">DAZ's price column €5 ≈ AUD 7.30 incl. GST.</t>
  </si>
  <si>
    <t xml:space="preserve">HX711 load-cell amplifier</t>
  </si>
  <si>
    <t xml:space="preserve">AliExpress search: HX711</t>
  </si>
  <si>
    <t xml:space="preserve">DAZ's link: €1.31 (May 2025) ≈ AUD 1.90 incl. GST.</t>
  </si>
  <si>
    <t xml:space="preserve">8 mm steel rod (main axle), 330 mm</t>
  </si>
  <si>
    <t xml:space="preserve">AliExpress search: 8 mm steel rod</t>
  </si>
  <si>
    <t xml:space="preserve">Pick 8 mm diameter, at least 330 mm long.</t>
  </si>
  <si>
    <t xml:space="preserve">DAZ's link: €2.59 (May 2025) ≈ AUD 3.80. Estimate AUD 5.</t>
  </si>
  <si>
    <t xml:space="preserve">SK8 shaft support blocks</t>
  </si>
  <si>
    <t xml:space="preserve">6 (4 without clutch)</t>
  </si>
  <si>
    <t xml:space="preserve">AliExpress search: SK8 support</t>
  </si>
  <si>
    <t xml:space="preserve">Keep the clutch: an H-pattern shifter needs one to feel right.</t>
  </si>
  <si>
    <t xml:space="preserve">DAZ's price column €6 for six ≈ AUD 8.80.</t>
  </si>
  <si>
    <t xml:space="preserve">Hall sensor module KY-035 (49E, analog)</t>
  </si>
  <si>
    <t xml:space="preserve">2 (1 without clutch)</t>
  </si>
  <si>
    <t xml:space="preserve">AliExpress search: KY-035 hall sensor</t>
  </si>
  <si>
    <t xml:space="preserve">Must be the analog 49E / KY-035, NOT the digital KY-003 (A3144).</t>
  </si>
  <si>
    <t xml:space="preserve">DAZ's link: €3.37 (May 2025) ≈ AUD 4.90 for a small pack.</t>
  </si>
  <si>
    <t xml:space="preserve">Brake spring (softest option)</t>
  </si>
  <si>
    <t xml:space="preserve">AliExpress search: brake pedal spring</t>
  </si>
  <si>
    <t xml:space="preserve">DAZ: get the softest one. Stick to his listing – the size matches his brake pedal.</t>
  </si>
  <si>
    <t xml:space="preserve">DAZ's price column €4 ≈ AUD 5.90.</t>
  </si>
  <si>
    <t xml:space="preserve">Skateboard truck bushings 85A (4-pack)</t>
  </si>
  <si>
    <t xml:space="preserve">2</t>
  </si>
  <si>
    <t xml:space="preserve">AliExpress search: skateboard bushings 85A</t>
  </si>
  <si>
    <t xml:space="preserve">Brake feel. DAZ used 85A hardness.</t>
  </si>
  <si>
    <t xml:space="preserve">DAZ's price column €2 ≈ AUD 2.90.</t>
  </si>
  <si>
    <t xml:space="preserve">Magnets 20 × 10 × 3 mm (or smaller)</t>
  </si>
  <si>
    <t xml:space="preserve">4 (2 without clutch)</t>
  </si>
  <si>
    <t xml:space="preserve">AliExpress search: 20×10×3 magnets</t>
  </si>
  <si>
    <t xml:space="preserve">DAZ's link: €1.10 (May 2025) ≈ AUD 1.60.</t>
  </si>
  <si>
    <t xml:space="preserve">Cable clamps for 1.5 mm cable (E type)</t>
  </si>
  <si>
    <t xml:space="preserve">3 (1 without clutch)</t>
  </si>
  <si>
    <t xml:space="preserve">AliExpress search: 1.5 mm wire rope clip</t>
  </si>
  <si>
    <t xml:space="preserve">DAZ's link: €3.41 (May 2025) ≈ AUD 5.</t>
  </si>
  <si>
    <t xml:space="preserve">Tension springs with hooks (hand-gripper type)</t>
  </si>
  <si>
    <t xml:space="preserve">AliExpress search: hand-gripper spring</t>
  </si>
  <si>
    <t xml:space="preserve">DAZ's link: €2.40 (May 2025) ≈ AUD 3.50.</t>
  </si>
  <si>
    <t xml:space="preserve">Subtotal – pedals</t>
  </si>
  <si>
    <t xml:space="preserve">4. NUTS &amp; BOLTS – every size bought once for all three</t>
  </si>
  <si>
    <t xml:space="preserve">M3 × 10 socket head screws</t>
  </si>
  <si>
    <t xml:space="preserve">3 (wheel)</t>
  </si>
  <si>
    <t xml:space="preserve">Cheaper – any seller, same size (small pack)</t>
  </si>
  <si>
    <t xml:space="preserve">AliExpress search: M3x10 socket head</t>
  </si>
  <si>
    <t xml:space="preserve">Pick the exact size and the smallest quantity. Plain steel is cheaper than stainless and fine indoors. Bunnings has most sizes today but costs 2–3× more.</t>
  </si>
  <si>
    <t xml:space="preserve">Small AliExpress pack ≈ AUD 1–2.50.</t>
  </si>
  <si>
    <t xml:space="preserve">M4 × 16 socket head screws</t>
  </si>
  <si>
    <t xml:space="preserve">3 (shifter)</t>
  </si>
  <si>
    <t xml:space="preserve">AliExpress search: M4x16 socket head</t>
  </si>
  <si>
    <t xml:space="preserve">M4 × 20 socket head screws</t>
  </si>
  <si>
    <t xml:space="preserve">2 (shifter)</t>
  </si>
  <si>
    <t xml:space="preserve">AliExpress search: M4x20 socket head</t>
  </si>
  <si>
    <t xml:space="preserve">M5 × 12 socket head screws</t>
  </si>
  <si>
    <t xml:space="preserve">AliExpress search: M5x12 socket head</t>
  </si>
  <si>
    <t xml:space="preserve">M5 × 20 socket head screws</t>
  </si>
  <si>
    <t xml:space="preserve">3 (wheel 1, shifter 2)</t>
  </si>
  <si>
    <t xml:space="preserve">AliExpress search: M5x20 socket head</t>
  </si>
  <si>
    <t xml:space="preserve">M5 × 25 socket head screws (20-pack)</t>
  </si>
  <si>
    <t xml:space="preserve">17 (wheel 2, pedals 15)</t>
  </si>
  <si>
    <t xml:space="preserve">AliExpress search: M5x25 socket head</t>
  </si>
  <si>
    <t xml:space="preserve">M5 × 30 socket head screws</t>
  </si>
  <si>
    <t xml:space="preserve">4 (shifter)</t>
  </si>
  <si>
    <t xml:space="preserve">AliExpress search: M5x30 socket head</t>
  </si>
  <si>
    <t xml:space="preserve">M5 × 40 socket head screws</t>
  </si>
  <si>
    <t xml:space="preserve">4 (wheel 2, shifter 2)</t>
  </si>
  <si>
    <t xml:space="preserve">AliExpress search: M5x40 socket head</t>
  </si>
  <si>
    <t xml:space="preserve">M3 × 8 countersunk screws</t>
  </si>
  <si>
    <t xml:space="preserve">AliExpress search: M3x8 countersunk</t>
  </si>
  <si>
    <t xml:space="preserve">M6 × 30 countersunk screws</t>
  </si>
  <si>
    <t xml:space="preserve">2 (wheel)</t>
  </si>
  <si>
    <t xml:space="preserve">AliExpress search: M6x30 countersunk</t>
  </si>
  <si>
    <t xml:space="preserve">M6 × 45 countersunk screw</t>
  </si>
  <si>
    <t xml:space="preserve">1 (wheel)</t>
  </si>
  <si>
    <t xml:space="preserve">AliExpress search: M6x45 countersunk</t>
  </si>
  <si>
    <t xml:space="preserve">M8 × 20 countersunk bolts</t>
  </si>
  <si>
    <t xml:space="preserve">6 (pedals)</t>
  </si>
  <si>
    <t xml:space="preserve">AliExpress search: M8x20 countersunk</t>
  </si>
  <si>
    <t xml:space="preserve">M6 × 20 button head screws (or M6 × 18)</t>
  </si>
  <si>
    <t xml:space="preserve">AliExpress search: M6x20 button head</t>
  </si>
  <si>
    <t xml:space="preserve">M6 × 35 button head screws</t>
  </si>
  <si>
    <t xml:space="preserve">AliExpress search: M6x35 button head</t>
  </si>
  <si>
    <t xml:space="preserve">M8 × 25 button head screw</t>
  </si>
  <si>
    <t xml:space="preserve">1 (shifter)</t>
  </si>
  <si>
    <t xml:space="preserve">AliExpress search: M8x25 button head</t>
  </si>
  <si>
    <t xml:space="preserve">M8 × 50 hex head bolt</t>
  </si>
  <si>
    <t xml:space="preserve">AliExpress search: M8x50 hex bolt</t>
  </si>
  <si>
    <t xml:space="preserve">M4 nuts</t>
  </si>
  <si>
    <t xml:space="preserve">AliExpress search: M4 nut</t>
  </si>
  <si>
    <t xml:space="preserve">M5 nuts</t>
  </si>
  <si>
    <t xml:space="preserve">21 (wheel 4, shifter 2, pedals 15)</t>
  </si>
  <si>
    <t xml:space="preserve">AliExpress search: M5 nut</t>
  </si>
  <si>
    <t xml:space="preserve">M6 nuts</t>
  </si>
  <si>
    <t xml:space="preserve">4 (wheel 3, shifter 1)</t>
  </si>
  <si>
    <t xml:space="preserve">AliExpress search: M6 nut</t>
  </si>
  <si>
    <t xml:space="preserve">M8 nuts</t>
  </si>
  <si>
    <t xml:space="preserve">4 (shifter 2, pedals 2)</t>
  </si>
  <si>
    <t xml:space="preserve">AliExpress search: M8 nut</t>
  </si>
  <si>
    <t xml:space="preserve">M5 washers</t>
  </si>
  <si>
    <t xml:space="preserve">14 (wheel 2, pedals 12)</t>
  </si>
  <si>
    <t xml:space="preserve">AliExpress search: M5 washer</t>
  </si>
  <si>
    <t xml:space="preserve">M8 washers</t>
  </si>
  <si>
    <t xml:space="preserve">7 (shifter 1, pedals 6)</t>
  </si>
  <si>
    <t xml:space="preserve">AliExpress search: M8 washer</t>
  </si>
  <si>
    <t xml:space="preserve">Self-tapping screws, 7 sizes (one small pack each)</t>
  </si>
  <si>
    <t xml:space="preserve">M2.5×6 (6), M2.5×12 (4), M3×12 (8), M3×16 (2), ≈2 mm (4), ≈4×10 CSK (8), ≈3×25 CSK (2)</t>
  </si>
  <si>
    <t xml:space="preserve">AliExpress search: self-tapping screws</t>
  </si>
  <si>
    <t xml:space="preserve">Wheel, shifter and pedals all use a few small self-tappers.</t>
  </si>
  <si>
    <t xml:space="preserve">3 mm nails</t>
  </si>
  <si>
    <t xml:space="preserve">11 (wheel 9, pedals 2)</t>
  </si>
  <si>
    <t xml:space="preserve">Kept – smallest pack</t>
  </si>
  <si>
    <t xml:space="preserve">Bunnings / hardware store</t>
  </si>
  <si>
    <t xml:space="preserve">Bunnings search: 3 mm nails</t>
  </si>
  <si>
    <t xml:space="preserve">Bunnings search</t>
  </si>
  <si>
    <t xml:space="preserve">Used as pins in the wheel and pedals.</t>
  </si>
  <si>
    <t xml:space="preserve">Small pack at a hardware store ≈ AUD 2–3.</t>
  </si>
  <si>
    <t xml:space="preserve">M8 threaded rod, 300 mm (cut 200 mm + 70 mm)</t>
  </si>
  <si>
    <t xml:space="preserve">200 mm shifter lever + 70 mm pedals</t>
  </si>
  <si>
    <t xml:space="preserve">AliExpress / Bunnings</t>
  </si>
  <si>
    <t xml:space="preserve">Bunnings search: M8 threaded rod</t>
  </si>
  <si>
    <t xml:space="preserve">One rod covers both.</t>
  </si>
  <si>
    <t xml:space="preserve">Typical 300 mm stainless M8 rod US$2–3.</t>
  </si>
  <si>
    <t xml:space="preserve">Subtotal – nuts &amp; bolts</t>
  </si>
  <si>
    <t xml:space="preserve">TOTAL – counts toward the budget</t>
  </si>
  <si>
    <t xml:space="preserve">5. FREE IF YOU CAN SCROUNGE THEM (NOT counted – prices are if you have to buy)</t>
  </si>
  <si>
    <t xml:space="preserve">Bearings 8 × 22 × 7 mm (608ZZ skateboard bearings)</t>
  </si>
  <si>
    <t xml:space="preserve">Free – from an old skateboard</t>
  </si>
  <si>
    <t xml:space="preserve">Old skateboard / scooter</t>
  </si>
  <si>
    <t xml:space="preserve">AliExpress search: 608ZZ</t>
  </si>
  <si>
    <t xml:space="preserve">Standard skateboard bearings – two out of an old skateboard, scooter or fidget spinner.</t>
  </si>
  <si>
    <t xml:space="preserve">608ZZ 10-pack ≈ US$2–2.50.</t>
  </si>
  <si>
    <t xml:space="preserve">Bike brake inner cables, MTB type</t>
  </si>
  <si>
    <t xml:space="preserve">Free – old bike or bike shop</t>
  </si>
  <si>
    <t xml:space="preserve">Old bike / bike shop</t>
  </si>
  <si>
    <t xml:space="preserve">AliExpress search: MTB brake cable</t>
  </si>
  <si>
    <t xml:space="preserve">An old bike's brake cables work, and bike shops often throw out offcuts – ask.</t>
  </si>
  <si>
    <t xml:space="preserve">DAZ's link: €2.69 (May 2025) ≈ AUD 3.90.</t>
  </si>
  <si>
    <t xml:space="preserve">Pedal base: bolt to your metal frame's pedal plate (or scrap plywood ≈10 mm)</t>
  </si>
  <si>
    <t xml:space="preserve">Free – use your rig</t>
  </si>
  <si>
    <t xml:space="preserve">Your frame / scrap</t>
  </si>
  <si>
    <t xml:space="preserve">Bunnings search: plywood</t>
  </si>
  <si>
    <t xml:space="preserve">You're buying a metal frame, so bolt the pedals to its pedal plate. DAZ's bolt lengths assume ~10 mm plywood – check they suit your plate.</t>
  </si>
  <si>
    <t xml:space="preserve">Small plywood sheet at Bunnings ≈ AUD 10–15.</t>
  </si>
  <si>
    <t xml:space="preserve">Hook-up wire, solder, heat-shrink</t>
  </si>
  <si>
    <t xml:space="preserve">–</t>
  </si>
  <si>
    <t xml:space="preserve">Not counted</t>
  </si>
  <si>
    <t xml:space="preserve">Jaycar / AliExpress</t>
  </si>
  <si>
    <t xml:space="preserve">For wiring the electronics.</t>
  </si>
  <si>
    <t xml:space="preserve">Typical small-pack prices.</t>
  </si>
  <si>
    <t xml:space="preserve">USB cables (USB-C, micro-USB, controller)</t>
  </si>
  <si>
    <t xml:space="preserve">Kmart / AliExpress</t>
  </si>
  <si>
    <t xml:space="preserve">One for each board.</t>
  </si>
  <si>
    <t xml:space="preserve">Typical price.</t>
  </si>
  <si>
    <t xml:space="preserve">If you have to buy these</t>
  </si>
  <si>
    <t xml:space="preserve">Total if you buy section 5 too</t>
  </si>
  <si>
    <t xml:space="preserve">6. OPTIONAL UPGRADE – wheel buttons &amp; magnetic paddles (NOT counted)</t>
  </si>
  <si>
    <t xml:space="preserve">Wireless button board (2.4 GHz zero-delay arcade encoder)</t>
  </si>
  <si>
    <t xml:space="preserve">Optional upgrade</t>
  </si>
  <si>
    <t xml:space="preserve">AliExpress search: wireless zero-delay encoder</t>
  </si>
  <si>
    <t xml:space="preserve">Buttons and paddles on the wheel. The H-shifter (with its sequential mode) already covers gear changes, so this can wait.</t>
  </si>
  <si>
    <t xml:space="preserve">A listing with this exact title showed US$4.29 sale / US$17.58 full price in 2026. Estimate AUD 15.</t>
  </si>
  <si>
    <t xml:space="preserve">Push buttons, 16 mm momentary (6-pack)</t>
  </si>
  <si>
    <t xml:space="preserve">2 sets</t>
  </si>
  <si>
    <t xml:space="preserve">AliExpress search: 16 mm push button</t>
  </si>
  <si>
    <t xml:space="preserve">Part of the optional wheel-buttons upgrade.</t>
  </si>
  <si>
    <t xml:space="preserve">DAZ's link: US$1.91 per set (May 2025) ≈ AUD 3.</t>
  </si>
  <si>
    <t xml:space="preserve">Magnets 30 × 10 × 4 mm (magnetic paddles)</t>
  </si>
  <si>
    <t xml:space="preserve">per DAZ's guide</t>
  </si>
  <si>
    <t xml:space="preserve">AliExpress search: 30×10×4 magnets</t>
  </si>
  <si>
    <t xml:space="preserve">Small pack ≈ US$2.50–4.</t>
  </si>
  <si>
    <t xml:space="preserve">AA battery holder, 2 × AA</t>
  </si>
  <si>
    <t xml:space="preserve">AliExpress search: 2 × AA holder</t>
  </si>
  <si>
    <t xml:space="preserve">Powers the wireless board. Part of the optional wheel-buttons upgrade.</t>
  </si>
  <si>
    <t xml:space="preserve">Typical listing US$0.50–1.</t>
  </si>
  <si>
    <t xml:space="preserve">Paddle switches – 2 spares from the shifter's 10-pack</t>
  </si>
  <si>
    <t xml:space="preserve">Optional upgrade – $0 (shifter pack)</t>
  </si>
  <si>
    <t xml:space="preserve">Shifter's switch pack</t>
  </si>
  <si>
    <t xml:space="preserve">AliExpress search: KW11-3Z roller switch</t>
  </si>
  <si>
    <t xml:space="preserve">The shifter's 10-pack leaves 5 spare – check they match DAZ's paddle switch. If not, his 10-pack is ≈ $5.50. Part of the optional wheel-buttons upgrade.</t>
  </si>
  <si>
    <t xml:space="preserve">DAZ's link: US$3.57 per 10 (May 2025) ≈ AUD 5.70.</t>
  </si>
  <si>
    <t xml:space="preserve">2 × AA batteries</t>
  </si>
  <si>
    <t xml:space="preserve">Optional upgrade (not on DAZ's list)</t>
  </si>
  <si>
    <t xml:space="preserve">Supermarket / Kmart</t>
  </si>
  <si>
    <t xml:space="preserve">For the wireless board. Part of the optional wheel-buttons upgrade.</t>
  </si>
  <si>
    <t xml:space="preserve">Supermarket price.</t>
  </si>
  <si>
    <t xml:space="preserve">Upgrade subtotal</t>
  </si>
  <si>
    <t xml:space="preserve">Total with the buttons upgrade</t>
  </si>
  <si>
    <t xml:space="preserve">7. CHEAPER, BUT WORSE OR MORE WORK – only if you must (amounts are savings)</t>
  </si>
  <si>
    <t xml:space="preserve">Skip the quick release – bolt the wheel base straight to your frame</t>
  </si>
  <si>
    <t xml:space="preserve">Trade-off – saves money, costs quality or effort</t>
  </si>
  <si>
    <t xml:space="preserve">You lose tool-free removal, and you'll need to work out the mounting from DAZ's guide.</t>
  </si>
  <si>
    <t xml:space="preserve">Clamp $16 + plate $7.</t>
  </si>
  <si>
    <t xml:space="preserve">Old laptop charger instead of the 24 V 10 A supply</t>
  </si>
  <si>
    <t xml:space="preserve">FFBeast says anything from 12 V works at lighter force settings. Lower maximum force; ideally 19–20 V, 120 W+.</t>
  </si>
  <si>
    <t xml:space="preserve">The supply's estimate.</t>
  </si>
  <si>
    <t xml:space="preserve">Run the shifter off the pedals' Leonardo (skip the Pro Micro)</t>
  </si>
  <si>
    <t xml:space="preserve">DAZ's FAQ says his pedals and shifter are designed to share one Leonardo. Needs a cable between them and his combined code – check his V2 guide.</t>
  </si>
  <si>
    <t xml:space="preserve">The Pro Micro's estimate.</t>
  </si>
  <si>
    <t xml:space="preserve">3D-print the steering wheel rim instead of buying DAZ's</t>
  </si>
  <si>
    <t xml:space="preserve">Printables</t>
  </si>
  <si>
    <t xml:space="preserve">Printables search: steering wheel 70 mm</t>
  </si>
  <si>
    <t xml:space="preserve">Free designs</t>
  </si>
  <si>
    <t xml:space="preserve">Free rims with the 70 mm bolt pattern exist. Plastic can crack under full direct-drive force – print it strong (PETG, high infill) and keep FFBeast's force low. Filament not included.</t>
  </si>
  <si>
    <t xml:space="preserve">The rim's estimate.</t>
  </si>
  <si>
    <t xml:space="preserve">MT6701 magnetic encoder instead of the E6B2</t>
  </si>
  <si>
    <t xml:space="preserve">AliExpress search: MT6701 encoder</t>
  </si>
  <si>
    <t xml:space="preserve">FFBeast supports it (4,096 counts per turn). DAZ's encoder mount won't fit it, so you'd design a small printed holder: a 6 mm shaft carrying the belt pulley and the magnet, in 2 spare MR126ZZ bearings. The magnet must sit precisely over the chip.</t>
  </si>
  <si>
    <t xml:space="preserve">E6B2 $20 + resistors $1 − MT6701 ≈ $5 − shaft ≈ $2.</t>
  </si>
  <si>
    <t xml:space="preserve">Hall-sensor brake instead of the load cell</t>
  </si>
  <si>
    <t xml:space="preserve">Print a second throttle-style pedal as the brake. It then works on pedal position, not pressure – you lose the load-cell feel, the best part of DAZ's pedals – and his Arduino code needs a small edit.</t>
  </si>
  <si>
    <t xml:space="preserve">Load cell, HX711, brake spring and bushings $31 − extra sensor, magnets and spring ≈ $6.</t>
  </si>
  <si>
    <t xml:space="preserve">Drop the clutch pedal</t>
  </si>
  <si>
    <t xml:space="preserve">Use the game's auto-clutch with the H-shifter. Most clutch parts come in packs anyway.</t>
  </si>
  <si>
    <t xml:space="preserve">2 SK8 blocks + 1 hall sensor.</t>
  </si>
  <si>
    <t xml:space="preserve">Savings if you take every trade-off</t>
  </si>
  <si>
    <t xml:space="preserve">Lowest total – every trade-off taken</t>
  </si>
  <si>
    <t xml:space="preserve">TIPS</t>
  </si>
  <si>
    <t xml:space="preserve">• Order everything from AliExpress in one go during the 11.11 sale (11 November) – sale coupons usually take money off orders this size, and one big order clears the free-shipping threshold.</t>
  </si>
  <si>
    <t xml:space="preserve">• Filament isn't included – you said you're budgeting the printing separately (≈1 kg each for the wheel and pedals, ≈0.5 kg for the shifter).</t>
  </si>
  <si>
    <t xml:space="preserve">• Buying for all three at once saves about $15 compared with the three separate lists, because several screw packs and the M8 rod are shared.</t>
  </si>
  <si>
    <t xml:space="preserve">ASSUMPTIONS &amp; SOURCES</t>
  </si>
  <si>
    <t xml:space="preserve">• Prices: estimates in AUD including 10% GST (AliExpress adds GST to Australian orders under AUD 1,000). Blue cells are inputs you can change; black cells are formulas.</t>
  </si>
  <si>
    <t xml:space="preserve">• Exchange rates: 1 USD = 1.4425 AUD, 1 EUR = 1.6249 AUD (ExchangeRate-API, open.er-api.com, 2 Oct 2026). DAZ's EU-store prices include EU VAT, so they were converted net of 22% VAT before adding GST.</t>
  </si>
  <si>
    <t xml:space="preserve">• Links: 'DAZ's link' = DAZ's own AliExpress (affiliate) listing – used where his printed parts need that exact part, and buying through it supports him. 'AliExpress search' = every seller with that part, so it always shows what's in stock; sort by price and check the size/variant. Choice-badge listings ship free over the threshold and arrive fastest.</t>
  </si>
  <si>
    <t xml:space="preserve">• Listing check (3 Oct 2026): every DAZ link was opened to confirm it still leads to a product page. AliExpress's bot check blocked some page loads, marked as not auto-checked – those links still work. Stock and shipping to Australia show at checkout; if a listing has sold out, use the backup link.</t>
  </si>
  <si>
    <t xml:space="preserve">• Price basis: DAZ's links carry the price from when he made them (mostly May 2025), quoted where available; other figures are typical 2026 AliExpress listings.</t>
  </si>
  <si>
    <t xml:space="preserve">• Based on DAZ's V2 steering wheel, V2 shifter and load-cell pedal parts lists.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</si>
</sst>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.00;&quot;-$&quot;#,##0.00;\-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F3864"/>
      </patternFill>
    </fill>
    <fill>
      <patternFill patternType="solid">
        <fgColor rgb="FFD9E1F2"/>
        <bgColor rgb="FFE4DFEC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E4DFEC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EDEDED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.click.aliexpress.com/e/_oFETcUp" TargetMode="External"/><Relationship Id="rId2" Type="http://schemas.openxmlformats.org/officeDocument/2006/relationships/hyperlink" Target="https://www.aliexpress.com/w/wholesale-MKS-XDrive-Mini.html" TargetMode="External"/><Relationship Id="rId3" Type="http://schemas.openxmlformats.org/officeDocument/2006/relationships/hyperlink" Target="https://s.click.aliexpress.com/e/_ok5Vs9o" TargetMode="External"/><Relationship Id="rId4" Type="http://schemas.openxmlformats.org/officeDocument/2006/relationships/hyperlink" Target="https://www.aliexpress.com/w/wholesale-E6B2-CWZ6C-rotary-encoder.html" TargetMode="External"/><Relationship Id="rId5" Type="http://schemas.openxmlformats.org/officeDocument/2006/relationships/hyperlink" Target="https://s.click.aliexpress.com/e/_c4TmFtB1" TargetMode="External"/><Relationship Id="rId6" Type="http://schemas.openxmlformats.org/officeDocument/2006/relationships/hyperlink" Target="https://www.aliexpress.com/w/wholesale-13-inch-330mm-flat-steering-wheel.html" TargetMode="External"/><Relationship Id="rId7" Type="http://schemas.openxmlformats.org/officeDocument/2006/relationships/hyperlink" Target="https://www.aliexpress.com/w/wholesale-GT2-pulley-20T-6mm-bore.html" TargetMode="External"/><Relationship Id="rId8" Type="http://schemas.openxmlformats.org/officeDocument/2006/relationships/hyperlink" Target="https://s.click.aliexpress.com/e/_c4PmNVjP" TargetMode="External"/><Relationship Id="rId9" Type="http://schemas.openxmlformats.org/officeDocument/2006/relationships/hyperlink" Target="https://www.aliexpress.com/w/wholesale-GT2-closed-loop-belt-212mm-6mm.html" TargetMode="External"/><Relationship Id="rId10" Type="http://schemas.openxmlformats.org/officeDocument/2006/relationships/hyperlink" Target="https://s.click.aliexpress.com/e/_c4EYnqTF" TargetMode="External"/><Relationship Id="rId11" Type="http://schemas.openxmlformats.org/officeDocument/2006/relationships/hyperlink" Target="https://www.aliexpress.com/w/wholesale-GT2-idler-20T-5mm-bore.html" TargetMode="External"/><Relationship Id="rId12" Type="http://schemas.openxmlformats.org/officeDocument/2006/relationships/hyperlink" Target="https://s.click.aliexpress.com/e/_oD4czbg" TargetMode="External"/><Relationship Id="rId13" Type="http://schemas.openxmlformats.org/officeDocument/2006/relationships/hyperlink" Target="https://www.aliexpress.com/w/wholesale-24V-10A-power-supply-adapter.html" TargetMode="External"/><Relationship Id="rId14" Type="http://schemas.openxmlformats.org/officeDocument/2006/relationships/hyperlink" Target="https://s.click.aliexpress.com/e/_oCRn586" TargetMode="External"/><Relationship Id="rId15" Type="http://schemas.openxmlformats.org/officeDocument/2006/relationships/hyperlink" Target="https://www.aliexpress.com/w/wholesale-XT60-connector-male-female.html" TargetMode="External"/><Relationship Id="rId16" Type="http://schemas.openxmlformats.org/officeDocument/2006/relationships/hyperlink" Target="https://s.click.aliexpress.com/e/_oot69yi" TargetMode="External"/><Relationship Id="rId17" Type="http://schemas.openxmlformats.org/officeDocument/2006/relationships/hyperlink" Target="https://s.click.aliexpress.com/e/_c3QMepGj" TargetMode="External"/><Relationship Id="rId18" Type="http://schemas.openxmlformats.org/officeDocument/2006/relationships/hyperlink" Target="https://www.aliexpress.com/w/wholesale-16mm-cross-clamp.html" TargetMode="External"/><Relationship Id="rId19" Type="http://schemas.openxmlformats.org/officeDocument/2006/relationships/hyperlink" Target="https://s.click.aliexpress.com/e/_c4b6DgPd" TargetMode="External"/><Relationship Id="rId20" Type="http://schemas.openxmlformats.org/officeDocument/2006/relationships/hyperlink" Target="https://www.aliexpress.com/w/wholesale-16mm-aluminum-tube-6061.html" TargetMode="External"/><Relationship Id="rId21" Type="http://schemas.openxmlformats.org/officeDocument/2006/relationships/hyperlink" Target="https://s.click.aliexpress.com/e/_c42xcgIL" TargetMode="External"/><Relationship Id="rId22" Type="http://schemas.openxmlformats.org/officeDocument/2006/relationships/hyperlink" Target="https://www.aliexpress.com/w/wholesale-arca-swiss-quick-release-clamp.html" TargetMode="External"/><Relationship Id="rId23" Type="http://schemas.openxmlformats.org/officeDocument/2006/relationships/hyperlink" Target="https://s.click.aliexpress.com/e/_c3AAn9P1" TargetMode="External"/><Relationship Id="rId24" Type="http://schemas.openxmlformats.org/officeDocument/2006/relationships/hyperlink" Target="https://www.aliexpress.com/w/wholesale-arca-swiss-plate-100mm.html" TargetMode="External"/><Relationship Id="rId25" Type="http://schemas.openxmlformats.org/officeDocument/2006/relationships/hyperlink" Target="https://www.aliexpress.com/w/wholesale-2.2k-resistor.html" TargetMode="External"/><Relationship Id="rId26" Type="http://schemas.openxmlformats.org/officeDocument/2006/relationships/hyperlink" Target="https://www.aliexpress.com/w/wholesale-resistor-kit.html" TargetMode="External"/><Relationship Id="rId27" Type="http://schemas.openxmlformats.org/officeDocument/2006/relationships/hyperlink" Target="https://www.aliexpress.com/w/wholesale-pro-micro-usb-c-atmega32u4.html" TargetMode="External"/><Relationship Id="rId28" Type="http://schemas.openxmlformats.org/officeDocument/2006/relationships/hyperlink" Target="https://s.click.aliexpress.com/e/_c3Fjl1H7" TargetMode="External"/><Relationship Id="rId29" Type="http://schemas.openxmlformats.org/officeDocument/2006/relationships/hyperlink" Target="https://www.aliexpress.com/w/wholesale-MGN12H-100mm-linear-rail.html" TargetMode="External"/><Relationship Id="rId30" Type="http://schemas.openxmlformats.org/officeDocument/2006/relationships/hyperlink" Target="https://s.click.aliexpress.com/e/_c3oJ2Bt3" TargetMode="External"/><Relationship Id="rId31" Type="http://schemas.openxmlformats.org/officeDocument/2006/relationships/hyperlink" Target="https://s.click.aliexpress.com/e/_c4azI7jR" TargetMode="External"/><Relationship Id="rId32" Type="http://schemas.openxmlformats.org/officeDocument/2006/relationships/hyperlink" Target="https://www.aliexpress.com/w/wholesale-M8-rod-end-female.html" TargetMode="External"/><Relationship Id="rId33" Type="http://schemas.openxmlformats.org/officeDocument/2006/relationships/hyperlink" Target="https://s.click.aliexpress.com/e/_c4CvMnYp" TargetMode="External"/><Relationship Id="rId34" Type="http://schemas.openxmlformats.org/officeDocument/2006/relationships/hyperlink" Target="https://www.aliexpress.com/w/wholesale-M8-rod-end-male.html" TargetMode="External"/><Relationship Id="rId35" Type="http://schemas.openxmlformats.org/officeDocument/2006/relationships/hyperlink" Target="https://www.aliexpress.com/w/wholesale-compression-spring-1.2mm-9mm-30mm.html" TargetMode="External"/><Relationship Id="rId36" Type="http://schemas.openxmlformats.org/officeDocument/2006/relationships/hyperlink" Target="https://s.click.aliexpress.com/e/_c3KC3hNL" TargetMode="External"/><Relationship Id="rId37" Type="http://schemas.openxmlformats.org/officeDocument/2006/relationships/hyperlink" Target="https://www.aliexpress.com/w/wholesale-KW11-3Z-roller-lever-micro-switch.html" TargetMode="External"/><Relationship Id="rId38" Type="http://schemas.openxmlformats.org/officeDocument/2006/relationships/hyperlink" Target="https://s.click.aliexpress.com/e/_c3tPrBcv" TargetMode="External"/><Relationship Id="rId39" Type="http://schemas.openxmlformats.org/officeDocument/2006/relationships/hyperlink" Target="https://www.aliexpress.com/w/wholesale-MR126ZZ-bearing.html" TargetMode="External"/><Relationship Id="rId40" Type="http://schemas.openxmlformats.org/officeDocument/2006/relationships/hyperlink" Target="https://s.click.aliexpress.com/e/_c3lWWj6V" TargetMode="External"/><Relationship Id="rId41" Type="http://schemas.openxmlformats.org/officeDocument/2006/relationships/hyperlink" Target="https://s.click.aliexpress.com/e/_c4WA985D" TargetMode="External"/><Relationship Id="rId42" Type="http://schemas.openxmlformats.org/officeDocument/2006/relationships/hyperlink" Target="https://www.aliexpress.com/w/wholesale-load-cell-150kg.html" TargetMode="External"/><Relationship Id="rId43" Type="http://schemas.openxmlformats.org/officeDocument/2006/relationships/hyperlink" Target="https://www.aliexpress.com/w/wholesale-Leonardo-R3-ATmega32U4.html" TargetMode="External"/><Relationship Id="rId44" Type="http://schemas.openxmlformats.org/officeDocument/2006/relationships/hyperlink" Target="https://s.click.aliexpress.com/e/_c3D1qauz" TargetMode="External"/><Relationship Id="rId45" Type="http://schemas.openxmlformats.org/officeDocument/2006/relationships/hyperlink" Target="https://www.aliexpress.com/w/wholesale-HX711-module.html" TargetMode="External"/><Relationship Id="rId46" Type="http://schemas.openxmlformats.org/officeDocument/2006/relationships/hyperlink" Target="https://s.click.aliexpress.com/e/_c4Oe4RZN" TargetMode="External"/><Relationship Id="rId47" Type="http://schemas.openxmlformats.org/officeDocument/2006/relationships/hyperlink" Target="https://www.aliexpress.com/w/wholesale-8mm-stainless-steel-rod.html" TargetMode="External"/><Relationship Id="rId48" Type="http://schemas.openxmlformats.org/officeDocument/2006/relationships/hyperlink" Target="https://s.click.aliexpress.com/e/_c3D7O6E3" TargetMode="External"/><Relationship Id="rId49" Type="http://schemas.openxmlformats.org/officeDocument/2006/relationships/hyperlink" Target="https://www.aliexpress.com/w/wholesale-SK8-shaft-support.html" TargetMode="External"/><Relationship Id="rId50" Type="http://schemas.openxmlformats.org/officeDocument/2006/relationships/hyperlink" Target="https://s.click.aliexpress.com/e/_c3gFvFW9" TargetMode="External"/><Relationship Id="rId51" Type="http://schemas.openxmlformats.org/officeDocument/2006/relationships/hyperlink" Target="https://www.aliexpress.com/w/wholesale-KY-035-hall-sensor-analog.html" TargetMode="External"/><Relationship Id="rId52" Type="http://schemas.openxmlformats.org/officeDocument/2006/relationships/hyperlink" Target="https://s.click.aliexpress.com/e/_c43nBBbZ" TargetMode="External"/><Relationship Id="rId53" Type="http://schemas.openxmlformats.org/officeDocument/2006/relationships/hyperlink" Target="https://s.click.aliexpress.com/e/_c3ild94T" TargetMode="External"/><Relationship Id="rId54" Type="http://schemas.openxmlformats.org/officeDocument/2006/relationships/hyperlink" Target="https://www.aliexpress.com/w/wholesale-compression-spring-brake-pedal.html" TargetMode="External"/><Relationship Id="rId55" Type="http://schemas.openxmlformats.org/officeDocument/2006/relationships/hyperlink" Target="https://s.click.aliexpress.com/e/_c3aTHCcJ" TargetMode="External"/><Relationship Id="rId56" Type="http://schemas.openxmlformats.org/officeDocument/2006/relationships/hyperlink" Target="https://www.aliexpress.com/w/wholesale-skateboard-bushings-85A.html" TargetMode="External"/><Relationship Id="rId57" Type="http://schemas.openxmlformats.org/officeDocument/2006/relationships/hyperlink" Target="https://www.aliexpress.com/w/wholesale-20x10x3mm-neodymium-magnet.html" TargetMode="External"/><Relationship Id="rId58" Type="http://schemas.openxmlformats.org/officeDocument/2006/relationships/hyperlink" Target="https://s.click.aliexpress.com/e/_c3ZLF2O3" TargetMode="External"/><Relationship Id="rId59" Type="http://schemas.openxmlformats.org/officeDocument/2006/relationships/hyperlink" Target="https://s.click.aliexpress.com/e/_c4cJBpl5" TargetMode="External"/><Relationship Id="rId60" Type="http://schemas.openxmlformats.org/officeDocument/2006/relationships/hyperlink" Target="https://www.aliexpress.com/w/wholesale-1.5mm-wire-rope-clip.html" TargetMode="External"/><Relationship Id="rId61" Type="http://schemas.openxmlformats.org/officeDocument/2006/relationships/hyperlink" Target="https://s.click.aliexpress.com/e/_c4PPZIoJ" TargetMode="External"/><Relationship Id="rId62" Type="http://schemas.openxmlformats.org/officeDocument/2006/relationships/hyperlink" Target="https://www.aliexpress.com/w/wholesale-hand-gripper-spring.html" TargetMode="External"/><Relationship Id="rId63" Type="http://schemas.openxmlformats.org/officeDocument/2006/relationships/hyperlink" Target="https://www.aliexpress.com/w/wholesale-M3x10-socket-head-screw.html" TargetMode="External"/><Relationship Id="rId64" Type="http://schemas.openxmlformats.org/officeDocument/2006/relationships/hyperlink" Target="https://s.click.aliexpress.com/e/_c4F4mPuh" TargetMode="External"/><Relationship Id="rId65" Type="http://schemas.openxmlformats.org/officeDocument/2006/relationships/hyperlink" Target="https://www.aliexpress.com/w/wholesale-M4x16-socket-head-screw.html" TargetMode="External"/><Relationship Id="rId66" Type="http://schemas.openxmlformats.org/officeDocument/2006/relationships/hyperlink" Target="https://s.click.aliexpress.com/e/_c4F4mPuh" TargetMode="External"/><Relationship Id="rId67" Type="http://schemas.openxmlformats.org/officeDocument/2006/relationships/hyperlink" Target="https://www.aliexpress.com/w/wholesale-M4x20-socket-head-screw.html" TargetMode="External"/><Relationship Id="rId68" Type="http://schemas.openxmlformats.org/officeDocument/2006/relationships/hyperlink" Target="https://s.click.aliexpress.com/e/_c4F4mPuh" TargetMode="External"/><Relationship Id="rId69" Type="http://schemas.openxmlformats.org/officeDocument/2006/relationships/hyperlink" Target="https://www.aliexpress.com/w/wholesale-M5x12-socket-head-screw.html" TargetMode="External"/><Relationship Id="rId70" Type="http://schemas.openxmlformats.org/officeDocument/2006/relationships/hyperlink" Target="https://s.click.aliexpress.com/e/_c4F4mPuh" TargetMode="External"/><Relationship Id="rId71" Type="http://schemas.openxmlformats.org/officeDocument/2006/relationships/hyperlink" Target="https://www.aliexpress.com/w/wholesale-M5x20-socket-head-screw.html" TargetMode="External"/><Relationship Id="rId72" Type="http://schemas.openxmlformats.org/officeDocument/2006/relationships/hyperlink" Target="https://s.click.aliexpress.com/e/_c4F4mPuh" TargetMode="External"/><Relationship Id="rId73" Type="http://schemas.openxmlformats.org/officeDocument/2006/relationships/hyperlink" Target="https://www.aliexpress.com/w/wholesale-M5x25-socket-head-screw.html" TargetMode="External"/><Relationship Id="rId74" Type="http://schemas.openxmlformats.org/officeDocument/2006/relationships/hyperlink" Target="https://s.click.aliexpress.com/e/_c4F4mPuh" TargetMode="External"/><Relationship Id="rId75" Type="http://schemas.openxmlformats.org/officeDocument/2006/relationships/hyperlink" Target="https://www.aliexpress.com/w/wholesale-M5x30-socket-head-screw.html" TargetMode="External"/><Relationship Id="rId76" Type="http://schemas.openxmlformats.org/officeDocument/2006/relationships/hyperlink" Target="https://s.click.aliexpress.com/e/_c4F4mPuh" TargetMode="External"/><Relationship Id="rId77" Type="http://schemas.openxmlformats.org/officeDocument/2006/relationships/hyperlink" Target="https://www.aliexpress.com/w/wholesale-M5x40-socket-head-screw.html" TargetMode="External"/><Relationship Id="rId78" Type="http://schemas.openxmlformats.org/officeDocument/2006/relationships/hyperlink" Target="https://s.click.aliexpress.com/e/_c4F4mPuh" TargetMode="External"/><Relationship Id="rId79" Type="http://schemas.openxmlformats.org/officeDocument/2006/relationships/hyperlink" Target="https://www.aliexpress.com/w/wholesale-M3x8-countersunk-screw.html" TargetMode="External"/><Relationship Id="rId80" Type="http://schemas.openxmlformats.org/officeDocument/2006/relationships/hyperlink" Target="https://s.click.aliexpress.com/e/_c3c2tuQh" TargetMode="External"/><Relationship Id="rId81" Type="http://schemas.openxmlformats.org/officeDocument/2006/relationships/hyperlink" Target="https://www.aliexpress.com/w/wholesale-M6x30-countersunk-screw.html" TargetMode="External"/><Relationship Id="rId82" Type="http://schemas.openxmlformats.org/officeDocument/2006/relationships/hyperlink" Target="https://s.click.aliexpress.com/e/_c3c2tuQh" TargetMode="External"/><Relationship Id="rId83" Type="http://schemas.openxmlformats.org/officeDocument/2006/relationships/hyperlink" Target="https://www.aliexpress.com/w/wholesale-M6x45-countersunk-screw.html" TargetMode="External"/><Relationship Id="rId84" Type="http://schemas.openxmlformats.org/officeDocument/2006/relationships/hyperlink" Target="https://s.click.aliexpress.com/e/_c3c2tuQh" TargetMode="External"/><Relationship Id="rId85" Type="http://schemas.openxmlformats.org/officeDocument/2006/relationships/hyperlink" Target="https://www.aliexpress.com/w/wholesale-M8x20-countersunk-screw.html" TargetMode="External"/><Relationship Id="rId86" Type="http://schemas.openxmlformats.org/officeDocument/2006/relationships/hyperlink" Target="https://s.click.aliexpress.com/e/_c3c2tuQh" TargetMode="External"/><Relationship Id="rId87" Type="http://schemas.openxmlformats.org/officeDocument/2006/relationships/hyperlink" Target="https://www.aliexpress.com/w/wholesale-M6x20-button-head-screw.html" TargetMode="External"/><Relationship Id="rId88" Type="http://schemas.openxmlformats.org/officeDocument/2006/relationships/hyperlink" Target="https://s.click.aliexpress.com/e/_c4lGmb8D" TargetMode="External"/><Relationship Id="rId89" Type="http://schemas.openxmlformats.org/officeDocument/2006/relationships/hyperlink" Target="https://www.aliexpress.com/w/wholesale-M6x35-button-head-screw.html" TargetMode="External"/><Relationship Id="rId90" Type="http://schemas.openxmlformats.org/officeDocument/2006/relationships/hyperlink" Target="https://s.click.aliexpress.com/e/_c4lGmb8D" TargetMode="External"/><Relationship Id="rId91" Type="http://schemas.openxmlformats.org/officeDocument/2006/relationships/hyperlink" Target="https://www.aliexpress.com/w/wholesale-M8x25-button-head-screw.html" TargetMode="External"/><Relationship Id="rId92" Type="http://schemas.openxmlformats.org/officeDocument/2006/relationships/hyperlink" Target="https://s.click.aliexpress.com/e/_c4lGmb8D" TargetMode="External"/><Relationship Id="rId93" Type="http://schemas.openxmlformats.org/officeDocument/2006/relationships/hyperlink" Target="https://www.aliexpress.com/w/wholesale-M8x50-hex-bolt.html" TargetMode="External"/><Relationship Id="rId94" Type="http://schemas.openxmlformats.org/officeDocument/2006/relationships/hyperlink" Target="https://s.click.aliexpress.com/e/_c3wUiJZ3" TargetMode="External"/><Relationship Id="rId95" Type="http://schemas.openxmlformats.org/officeDocument/2006/relationships/hyperlink" Target="https://www.aliexpress.com/w/wholesale-M4-hex-nut.html" TargetMode="External"/><Relationship Id="rId96" Type="http://schemas.openxmlformats.org/officeDocument/2006/relationships/hyperlink" Target="https://s.click.aliexpress.com/e/_c4CPm5kp" TargetMode="External"/><Relationship Id="rId97" Type="http://schemas.openxmlformats.org/officeDocument/2006/relationships/hyperlink" Target="https://www.aliexpress.com/w/wholesale-M5-hex-nut.html" TargetMode="External"/><Relationship Id="rId98" Type="http://schemas.openxmlformats.org/officeDocument/2006/relationships/hyperlink" Target="https://s.click.aliexpress.com/e/_c4CPm5kp" TargetMode="External"/><Relationship Id="rId99" Type="http://schemas.openxmlformats.org/officeDocument/2006/relationships/hyperlink" Target="https://www.aliexpress.com/w/wholesale-M6-hex-nut.html" TargetMode="External"/><Relationship Id="rId100" Type="http://schemas.openxmlformats.org/officeDocument/2006/relationships/hyperlink" Target="https://s.click.aliexpress.com/e/_c4CPm5kp" TargetMode="External"/><Relationship Id="rId101" Type="http://schemas.openxmlformats.org/officeDocument/2006/relationships/hyperlink" Target="https://www.aliexpress.com/w/wholesale-M8-hex-nut.html" TargetMode="External"/><Relationship Id="rId102" Type="http://schemas.openxmlformats.org/officeDocument/2006/relationships/hyperlink" Target="https://s.click.aliexpress.com/e/_c4CPm5kp" TargetMode="External"/><Relationship Id="rId103" Type="http://schemas.openxmlformats.org/officeDocument/2006/relationships/hyperlink" Target="https://www.aliexpress.com/w/wholesale-M5-flat-washer.html" TargetMode="External"/><Relationship Id="rId104" Type="http://schemas.openxmlformats.org/officeDocument/2006/relationships/hyperlink" Target="https://www.aliexpress.com/w/wholesale-M8-flat-washer.html" TargetMode="External"/><Relationship Id="rId105" Type="http://schemas.openxmlformats.org/officeDocument/2006/relationships/hyperlink" Target="https://www.aliexpress.com/w/wholesale-self-tapping-screw.html" TargetMode="External"/><Relationship Id="rId106" Type="http://schemas.openxmlformats.org/officeDocument/2006/relationships/hyperlink" Target="https://s.click.aliexpress.com/e/_c4TpvOcH" TargetMode="External"/><Relationship Id="rId107" Type="http://schemas.openxmlformats.org/officeDocument/2006/relationships/hyperlink" Target="https://www.bunnings.com.au/search/products?q=3mm%20nails" TargetMode="External"/><Relationship Id="rId108" Type="http://schemas.openxmlformats.org/officeDocument/2006/relationships/hyperlink" Target="https://s.click.aliexpress.com/e/_c4DbSC0d" TargetMode="External"/><Relationship Id="rId109" Type="http://schemas.openxmlformats.org/officeDocument/2006/relationships/hyperlink" Target="https://www.bunnings.com.au/search/products?q=m8%20threaded%20rod" TargetMode="External"/><Relationship Id="rId110" Type="http://schemas.openxmlformats.org/officeDocument/2006/relationships/hyperlink" Target="https://www.aliexpress.com/w/wholesale-608ZZ-bearing.html" TargetMode="External"/><Relationship Id="rId111" Type="http://schemas.openxmlformats.org/officeDocument/2006/relationships/hyperlink" Target="https://s.click.aliexpress.com/e/_c40jxQxj" TargetMode="External"/><Relationship Id="rId112" Type="http://schemas.openxmlformats.org/officeDocument/2006/relationships/hyperlink" Target="https://www.aliexpress.com/w/wholesale-MTB-brake-inner-cable.html" TargetMode="External"/><Relationship Id="rId113" Type="http://schemas.openxmlformats.org/officeDocument/2006/relationships/hyperlink" Target="https://s.click.aliexpress.com/e/_c4TmJzRt" TargetMode="External"/><Relationship Id="rId114" Type="http://schemas.openxmlformats.org/officeDocument/2006/relationships/hyperlink" Target="https://www.bunnings.com.au/search/products?q=plywood" TargetMode="External"/><Relationship Id="rId115" Type="http://schemas.openxmlformats.org/officeDocument/2006/relationships/hyperlink" Target="https://s.click.aliexpress.com/e/_c3KIxmBd" TargetMode="External"/><Relationship Id="rId116" Type="http://schemas.openxmlformats.org/officeDocument/2006/relationships/hyperlink" Target="https://www.aliexpress.com/w/wholesale-wireless-zero-delay-arcade-encoder.html" TargetMode="External"/><Relationship Id="rId117" Type="http://schemas.openxmlformats.org/officeDocument/2006/relationships/hyperlink" Target="https://s.click.aliexpress.com/e/_olVdACO" TargetMode="External"/><Relationship Id="rId118" Type="http://schemas.openxmlformats.org/officeDocument/2006/relationships/hyperlink" Target="https://www.aliexpress.com/w/wholesale-16mm-momentary-push-button.html" TargetMode="External"/><Relationship Id="rId119" Type="http://schemas.openxmlformats.org/officeDocument/2006/relationships/hyperlink" Target="https://s.click.aliexpress.com/e/_onsXtvg" TargetMode="External"/><Relationship Id="rId120" Type="http://schemas.openxmlformats.org/officeDocument/2006/relationships/hyperlink" Target="https://www.aliexpress.com/w/wholesale-30x10x4mm-neodymium-magnet.html" TargetMode="External"/><Relationship Id="rId121" Type="http://schemas.openxmlformats.org/officeDocument/2006/relationships/hyperlink" Target="https://s.click.aliexpress.com/e/_c3UFiyA7" TargetMode="External"/><Relationship Id="rId122" Type="http://schemas.openxmlformats.org/officeDocument/2006/relationships/hyperlink" Target="https://www.aliexpress.com/w/wholesale-2-AA-battery-holder.html" TargetMode="External"/><Relationship Id="rId123" Type="http://schemas.openxmlformats.org/officeDocument/2006/relationships/hyperlink" Target="https://s.click.aliexpress.com/e/_okGq0CQ" TargetMode="External"/><Relationship Id="rId124" Type="http://schemas.openxmlformats.org/officeDocument/2006/relationships/hyperlink" Target="https://www.aliexpress.com/w/wholesale-KW11-3Z-roller-lever-micro-switch.html" TargetMode="External"/><Relationship Id="rId125" Type="http://schemas.openxmlformats.org/officeDocument/2006/relationships/hyperlink" Target="https://www.printables.com/search/models?q=steering%20wheel%2070mm" TargetMode="External"/><Relationship Id="rId126" Type="http://schemas.openxmlformats.org/officeDocument/2006/relationships/hyperlink" Target="https://www.aliexpress.com/w/wholesale-MT6701-magnetic-encoder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5" min="4" style="0" width="10.5"/>
    <col collapsed="false" customWidth="true" hidden="false" outlineLevel="0" max="6" min="6" style="0" width="22"/>
    <col collapsed="false" customWidth="true" hidden="false" outlineLevel="0" max="7" min="7" style="0" width="17"/>
    <col collapsed="false" customWidth="true" hidden="false" outlineLevel="0" max="8" min="8" style="0" width="28"/>
    <col collapsed="false" customWidth="true" hidden="false" outlineLevel="0" max="9" min="9" style="0" width="31"/>
    <col collapsed="false" customWidth="true" hidden="false" outlineLevel="0" max="10" min="10" style="0" width="18"/>
    <col collapsed="false" customWidth="true" hidden="false" outlineLevel="0" max="11" min="11" style="0" width="56"/>
    <col collapsed="false" customWidth="true" hidden="false" outlineLevel="0" max="12" min="12" style="0" width="40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8" hidden="false" customHeight="true" outlineLevel="0" collapsed="false">
      <c r="A3" s="3" t="s">
        <v>2</v>
      </c>
      <c r="B3" s="4" t="n">
        <v>100</v>
      </c>
      <c r="D3" s="5" t="s">
        <v>3</v>
      </c>
      <c r="E3" s="6" t="n">
        <f aca="false">E76</f>
        <v>326.1</v>
      </c>
      <c r="F3" s="3" t="str">
        <f aca="false">IF($E$3&lt;=$B$3,"UNDER BUDGET – $"&amp;TEXT($B$3-$E$3,"0.00")&amp;" spare","OVER BUDGET by $"&amp;TEXT($E$3-$B$3,"0.00"))</f>
        <v>OVER BUDGET by $226.10</v>
      </c>
    </row>
    <row r="4" customFormat="false" ht="18" hidden="false" customHeight="true" outlineLevel="0" collapsed="false">
      <c r="A4" s="3" t="s">
        <v>4</v>
      </c>
      <c r="D4" s="5" t="s">
        <v>3</v>
      </c>
      <c r="E4" s="6" t="n">
        <f aca="false">E106</f>
        <v>194.1</v>
      </c>
      <c r="F4" s="3" t="str">
        <f aca="false">IF($E$4&lt;=$B$3,"UNDER BUDGET – $"&amp;TEXT($B$3-$E$4,"0.00")&amp;" spare","OVER BUDGET by $"&amp;TEXT($E$4-$B$3,"0.00"))</f>
        <v>OVER BUDGET by $94.10</v>
      </c>
    </row>
    <row r="6" customFormat="false" ht="19.5" hidden="false" customHeight="tru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</row>
    <row r="7" customFormat="false" ht="15" hidden="false" customHeight="false" outlineLevel="0" collapsed="false">
      <c r="A7" s="8" t="s">
        <v>17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customFormat="false" ht="54" hidden="false" customHeight="true" outlineLevel="0" collapsed="false">
      <c r="A8" s="9" t="s">
        <v>18</v>
      </c>
      <c r="B8" s="9" t="s">
        <v>19</v>
      </c>
      <c r="C8" s="10" t="n">
        <v>1</v>
      </c>
      <c r="D8" s="11" t="n">
        <v>50</v>
      </c>
      <c r="E8" s="12" t="n">
        <f aca="false">C8*D8</f>
        <v>50</v>
      </c>
      <c r="F8" s="13" t="s">
        <v>20</v>
      </c>
      <c r="G8" s="9" t="s">
        <v>21</v>
      </c>
      <c r="H8" s="14" t="s">
        <v>22</v>
      </c>
      <c r="I8" s="14" t="s">
        <v>23</v>
      </c>
      <c r="J8" s="15" t="s">
        <v>24</v>
      </c>
      <c r="K8" s="9" t="s">
        <v>25</v>
      </c>
      <c r="L8" s="9" t="s">
        <v>26</v>
      </c>
    </row>
    <row r="9" customFormat="false" ht="28.5" hidden="false" customHeight="true" outlineLevel="0" collapsed="false">
      <c r="A9" s="9" t="s">
        <v>27</v>
      </c>
      <c r="B9" s="9" t="s">
        <v>19</v>
      </c>
      <c r="C9" s="10" t="n">
        <v>1</v>
      </c>
      <c r="D9" s="11" t="n">
        <v>0</v>
      </c>
      <c r="E9" s="12" t="n">
        <f aca="false">C9*D9</f>
        <v>0</v>
      </c>
      <c r="F9" s="16" t="s">
        <v>28</v>
      </c>
      <c r="G9" s="9" t="s">
        <v>29</v>
      </c>
      <c r="H9" s="17"/>
      <c r="I9" s="17"/>
      <c r="J9" s="15"/>
      <c r="K9" s="9" t="s">
        <v>30</v>
      </c>
      <c r="L9" s="9" t="s">
        <v>31</v>
      </c>
    </row>
    <row r="10" customFormat="false" ht="41.25" hidden="false" customHeight="true" outlineLevel="0" collapsed="false">
      <c r="A10" s="9" t="s">
        <v>32</v>
      </c>
      <c r="B10" s="9" t="s">
        <v>19</v>
      </c>
      <c r="C10" s="10" t="n">
        <v>1</v>
      </c>
      <c r="D10" s="11" t="n">
        <v>20</v>
      </c>
      <c r="E10" s="12" t="n">
        <f aca="false">C10*D10</f>
        <v>20</v>
      </c>
      <c r="F10" s="13" t="s">
        <v>20</v>
      </c>
      <c r="G10" s="9" t="s">
        <v>21</v>
      </c>
      <c r="H10" s="14" t="s">
        <v>22</v>
      </c>
      <c r="I10" s="14" t="s">
        <v>33</v>
      </c>
      <c r="J10" s="15" t="s">
        <v>34</v>
      </c>
      <c r="K10" s="9" t="s">
        <v>35</v>
      </c>
      <c r="L10" s="9" t="s">
        <v>36</v>
      </c>
    </row>
    <row r="11" customFormat="false" ht="41.25" hidden="false" customHeight="true" outlineLevel="0" collapsed="false">
      <c r="A11" s="9" t="s">
        <v>37</v>
      </c>
      <c r="B11" s="9" t="s">
        <v>19</v>
      </c>
      <c r="C11" s="10" t="n">
        <v>1</v>
      </c>
      <c r="D11" s="11" t="n">
        <v>38</v>
      </c>
      <c r="E11" s="12" t="n">
        <f aca="false">C11*D11</f>
        <v>38</v>
      </c>
      <c r="F11" s="13" t="s">
        <v>38</v>
      </c>
      <c r="G11" s="9" t="s">
        <v>21</v>
      </c>
      <c r="H11" s="14" t="s">
        <v>22</v>
      </c>
      <c r="I11" s="14" t="s">
        <v>39</v>
      </c>
      <c r="J11" s="15" t="s">
        <v>34</v>
      </c>
      <c r="K11" s="9" t="s">
        <v>40</v>
      </c>
      <c r="L11" s="9" t="s">
        <v>41</v>
      </c>
    </row>
    <row r="12" customFormat="false" ht="28.5" hidden="false" customHeight="true" outlineLevel="0" collapsed="false">
      <c r="A12" s="9" t="s">
        <v>42</v>
      </c>
      <c r="B12" s="9" t="s">
        <v>19</v>
      </c>
      <c r="C12" s="10" t="n">
        <v>1</v>
      </c>
      <c r="D12" s="11" t="n">
        <v>2</v>
      </c>
      <c r="E12" s="12" t="n">
        <f aca="false">C12*D12</f>
        <v>2</v>
      </c>
      <c r="F12" s="16" t="s">
        <v>43</v>
      </c>
      <c r="G12" s="9" t="s">
        <v>21</v>
      </c>
      <c r="H12" s="14" t="s">
        <v>44</v>
      </c>
      <c r="I12" s="14" t="s">
        <v>22</v>
      </c>
      <c r="J12" s="15" t="s">
        <v>45</v>
      </c>
      <c r="K12" s="9" t="s">
        <v>46</v>
      </c>
      <c r="L12" s="9" t="s">
        <v>47</v>
      </c>
    </row>
    <row r="13" customFormat="false" ht="28.5" hidden="false" customHeight="true" outlineLevel="0" collapsed="false">
      <c r="A13" s="9" t="s">
        <v>48</v>
      </c>
      <c r="B13" s="9" t="s">
        <v>19</v>
      </c>
      <c r="C13" s="10" t="n">
        <v>1</v>
      </c>
      <c r="D13" s="11" t="n">
        <v>2.5</v>
      </c>
      <c r="E13" s="12" t="n">
        <f aca="false">C13*D13</f>
        <v>2.5</v>
      </c>
      <c r="F13" s="16" t="s">
        <v>43</v>
      </c>
      <c r="G13" s="9" t="s">
        <v>21</v>
      </c>
      <c r="H13" s="14" t="s">
        <v>49</v>
      </c>
      <c r="I13" s="14" t="s">
        <v>22</v>
      </c>
      <c r="J13" s="15" t="s">
        <v>45</v>
      </c>
      <c r="K13" s="9" t="s">
        <v>50</v>
      </c>
      <c r="L13" s="9" t="s">
        <v>51</v>
      </c>
    </row>
    <row r="14" customFormat="false" ht="28.5" hidden="false" customHeight="true" outlineLevel="0" collapsed="false">
      <c r="A14" s="9" t="s">
        <v>52</v>
      </c>
      <c r="B14" s="9" t="s">
        <v>19</v>
      </c>
      <c r="C14" s="10" t="n">
        <v>1</v>
      </c>
      <c r="D14" s="11" t="n">
        <v>3.5</v>
      </c>
      <c r="E14" s="12" t="n">
        <f aca="false">C14*D14</f>
        <v>3.5</v>
      </c>
      <c r="F14" s="16" t="s">
        <v>43</v>
      </c>
      <c r="G14" s="9" t="s">
        <v>21</v>
      </c>
      <c r="H14" s="14" t="s">
        <v>53</v>
      </c>
      <c r="I14" s="14" t="s">
        <v>22</v>
      </c>
      <c r="J14" s="15" t="s">
        <v>45</v>
      </c>
      <c r="K14" s="9" t="s">
        <v>54</v>
      </c>
      <c r="L14" s="9" t="s">
        <v>55</v>
      </c>
    </row>
    <row r="15" customFormat="false" ht="28.5" hidden="false" customHeight="true" outlineLevel="0" collapsed="false">
      <c r="A15" s="9" t="s">
        <v>56</v>
      </c>
      <c r="B15" s="9" t="s">
        <v>19</v>
      </c>
      <c r="C15" s="10" t="n">
        <v>1</v>
      </c>
      <c r="D15" s="11" t="n">
        <v>20</v>
      </c>
      <c r="E15" s="12" t="n">
        <f aca="false">C15*D15</f>
        <v>20</v>
      </c>
      <c r="F15" s="16" t="s">
        <v>43</v>
      </c>
      <c r="G15" s="9" t="s">
        <v>21</v>
      </c>
      <c r="H15" s="14" t="s">
        <v>57</v>
      </c>
      <c r="I15" s="14" t="s">
        <v>22</v>
      </c>
      <c r="J15" s="15" t="s">
        <v>45</v>
      </c>
      <c r="K15" s="9" t="s">
        <v>58</v>
      </c>
      <c r="L15" s="9" t="s">
        <v>59</v>
      </c>
    </row>
    <row r="16" customFormat="false" ht="28.5" hidden="false" customHeight="true" outlineLevel="0" collapsed="false">
      <c r="A16" s="9" t="s">
        <v>60</v>
      </c>
      <c r="B16" s="9" t="s">
        <v>61</v>
      </c>
      <c r="C16" s="10" t="n">
        <v>1</v>
      </c>
      <c r="D16" s="11" t="n">
        <v>2.5</v>
      </c>
      <c r="E16" s="12" t="n">
        <f aca="false">C16*D16</f>
        <v>2.5</v>
      </c>
      <c r="F16" s="16" t="s">
        <v>62</v>
      </c>
      <c r="G16" s="9" t="s">
        <v>21</v>
      </c>
      <c r="H16" s="14" t="s">
        <v>63</v>
      </c>
      <c r="I16" s="14" t="s">
        <v>22</v>
      </c>
      <c r="J16" s="15" t="s">
        <v>45</v>
      </c>
      <c r="K16" s="9" t="s">
        <v>64</v>
      </c>
      <c r="L16" s="9" t="s">
        <v>65</v>
      </c>
    </row>
    <row r="17" customFormat="false" ht="28.5" hidden="false" customHeight="true" outlineLevel="0" collapsed="false">
      <c r="A17" s="9" t="s">
        <v>66</v>
      </c>
      <c r="B17" s="9" t="s">
        <v>19</v>
      </c>
      <c r="C17" s="10" t="n">
        <v>1</v>
      </c>
      <c r="D17" s="11" t="n">
        <v>6</v>
      </c>
      <c r="E17" s="12" t="n">
        <f aca="false">C17*D17</f>
        <v>6</v>
      </c>
      <c r="F17" s="13" t="s">
        <v>20</v>
      </c>
      <c r="G17" s="9" t="s">
        <v>21</v>
      </c>
      <c r="H17" s="14" t="s">
        <v>22</v>
      </c>
      <c r="I17" s="14" t="s">
        <v>67</v>
      </c>
      <c r="J17" s="15" t="s">
        <v>34</v>
      </c>
      <c r="K17" s="9" t="s">
        <v>68</v>
      </c>
      <c r="L17" s="9" t="s">
        <v>69</v>
      </c>
    </row>
    <row r="18" customFormat="false" ht="28.5" hidden="false" customHeight="true" outlineLevel="0" collapsed="false">
      <c r="A18" s="9" t="s">
        <v>70</v>
      </c>
      <c r="B18" s="9" t="s">
        <v>71</v>
      </c>
      <c r="C18" s="10" t="n">
        <v>1</v>
      </c>
      <c r="D18" s="11" t="n">
        <v>4.5</v>
      </c>
      <c r="E18" s="12" t="n">
        <f aca="false">C18*D18</f>
        <v>4.5</v>
      </c>
      <c r="F18" s="13" t="s">
        <v>72</v>
      </c>
      <c r="G18" s="9" t="s">
        <v>21</v>
      </c>
      <c r="H18" s="14" t="s">
        <v>22</v>
      </c>
      <c r="I18" s="14" t="s">
        <v>73</v>
      </c>
      <c r="J18" s="15" t="s">
        <v>34</v>
      </c>
      <c r="K18" s="9" t="s">
        <v>74</v>
      </c>
      <c r="L18" s="9" t="s">
        <v>75</v>
      </c>
    </row>
    <row r="19" customFormat="false" ht="41.25" hidden="false" customHeight="true" outlineLevel="0" collapsed="false">
      <c r="A19" s="9" t="s">
        <v>76</v>
      </c>
      <c r="B19" s="9" t="s">
        <v>19</v>
      </c>
      <c r="C19" s="10" t="n">
        <v>1</v>
      </c>
      <c r="D19" s="11" t="n">
        <v>16</v>
      </c>
      <c r="E19" s="12" t="n">
        <f aca="false">C19*D19</f>
        <v>16</v>
      </c>
      <c r="F19" s="13" t="s">
        <v>77</v>
      </c>
      <c r="G19" s="9" t="s">
        <v>21</v>
      </c>
      <c r="H19" s="14" t="s">
        <v>22</v>
      </c>
      <c r="I19" s="14" t="s">
        <v>78</v>
      </c>
      <c r="J19" s="15" t="s">
        <v>34</v>
      </c>
      <c r="K19" s="9" t="s">
        <v>79</v>
      </c>
      <c r="L19" s="9" t="s">
        <v>80</v>
      </c>
    </row>
    <row r="20" customFormat="false" ht="28.5" hidden="false" customHeight="true" outlineLevel="0" collapsed="false">
      <c r="A20" s="9" t="s">
        <v>81</v>
      </c>
      <c r="B20" s="9" t="s">
        <v>19</v>
      </c>
      <c r="C20" s="10" t="n">
        <v>1</v>
      </c>
      <c r="D20" s="11" t="n">
        <v>7</v>
      </c>
      <c r="E20" s="12" t="n">
        <f aca="false">C20*D20</f>
        <v>7</v>
      </c>
      <c r="F20" s="13" t="s">
        <v>20</v>
      </c>
      <c r="G20" s="9" t="s">
        <v>21</v>
      </c>
      <c r="H20" s="14" t="s">
        <v>22</v>
      </c>
      <c r="I20" s="14" t="s">
        <v>82</v>
      </c>
      <c r="J20" s="15" t="s">
        <v>34</v>
      </c>
      <c r="K20" s="9" t="s">
        <v>83</v>
      </c>
      <c r="L20" s="9" t="s">
        <v>69</v>
      </c>
    </row>
    <row r="21" customFormat="false" ht="41.25" hidden="false" customHeight="true" outlineLevel="0" collapsed="false">
      <c r="A21" s="9" t="s">
        <v>84</v>
      </c>
      <c r="B21" s="9" t="s">
        <v>85</v>
      </c>
      <c r="C21" s="10" t="n">
        <v>1</v>
      </c>
      <c r="D21" s="11" t="n">
        <v>1</v>
      </c>
      <c r="E21" s="12" t="n">
        <f aca="false">C21*D21</f>
        <v>1</v>
      </c>
      <c r="F21" s="18" t="s">
        <v>86</v>
      </c>
      <c r="G21" s="9" t="s">
        <v>87</v>
      </c>
      <c r="H21" s="14" t="s">
        <v>88</v>
      </c>
      <c r="I21" s="14" t="s">
        <v>89</v>
      </c>
      <c r="J21" s="15" t="s">
        <v>45</v>
      </c>
      <c r="K21" s="9" t="s">
        <v>90</v>
      </c>
      <c r="L21" s="9" t="s">
        <v>91</v>
      </c>
    </row>
    <row r="22" customFormat="false" ht="15" hidden="false" customHeight="false" outlineLevel="0" collapsed="false">
      <c r="A22" s="19" t="s">
        <v>92</v>
      </c>
      <c r="B22" s="20"/>
      <c r="C22" s="20"/>
      <c r="D22" s="20"/>
      <c r="E22" s="21" t="n">
        <f aca="false">SUM(E8:E21)</f>
        <v>173</v>
      </c>
      <c r="F22" s="20"/>
      <c r="G22" s="20"/>
      <c r="H22" s="20"/>
      <c r="I22" s="20"/>
      <c r="J22" s="20"/>
      <c r="K22" s="20"/>
      <c r="L22" s="20"/>
    </row>
    <row r="24" customFormat="false" ht="15" hidden="false" customHeight="false" outlineLevel="0" collapsed="false">
      <c r="A24" s="8" t="s">
        <v>93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customFormat="false" ht="28.5" hidden="false" customHeight="true" outlineLevel="0" collapsed="false">
      <c r="A25" s="9" t="s">
        <v>94</v>
      </c>
      <c r="B25" s="9" t="s">
        <v>19</v>
      </c>
      <c r="C25" s="10" t="n">
        <v>1</v>
      </c>
      <c r="D25" s="11" t="n">
        <v>7</v>
      </c>
      <c r="E25" s="12" t="n">
        <f aca="false">C25*D25</f>
        <v>7</v>
      </c>
      <c r="F25" s="16" t="s">
        <v>43</v>
      </c>
      <c r="G25" s="9" t="s">
        <v>21</v>
      </c>
      <c r="H25" s="14" t="s">
        <v>95</v>
      </c>
      <c r="I25" s="14" t="s">
        <v>22</v>
      </c>
      <c r="J25" s="15" t="s">
        <v>45</v>
      </c>
      <c r="K25" s="9" t="s">
        <v>96</v>
      </c>
      <c r="L25" s="9" t="s">
        <v>97</v>
      </c>
    </row>
    <row r="26" customFormat="false" ht="28.5" hidden="false" customHeight="true" outlineLevel="0" collapsed="false">
      <c r="A26" s="9" t="s">
        <v>98</v>
      </c>
      <c r="B26" s="9" t="s">
        <v>19</v>
      </c>
      <c r="C26" s="10" t="n">
        <v>1</v>
      </c>
      <c r="D26" s="11" t="n">
        <v>10</v>
      </c>
      <c r="E26" s="12" t="n">
        <f aca="false">C26*D26</f>
        <v>10</v>
      </c>
      <c r="F26" s="16" t="s">
        <v>43</v>
      </c>
      <c r="G26" s="9" t="s">
        <v>21</v>
      </c>
      <c r="H26" s="14" t="s">
        <v>99</v>
      </c>
      <c r="I26" s="14" t="s">
        <v>22</v>
      </c>
      <c r="J26" s="15" t="s">
        <v>45</v>
      </c>
      <c r="K26" s="9" t="s">
        <v>100</v>
      </c>
      <c r="L26" s="9" t="s">
        <v>101</v>
      </c>
    </row>
    <row r="27" customFormat="false" ht="28.5" hidden="false" customHeight="true" outlineLevel="0" collapsed="false">
      <c r="A27" s="9" t="s">
        <v>102</v>
      </c>
      <c r="B27" s="9" t="s">
        <v>19</v>
      </c>
      <c r="C27" s="10" t="n">
        <v>1</v>
      </c>
      <c r="D27" s="11" t="n">
        <v>4</v>
      </c>
      <c r="E27" s="12" t="n">
        <f aca="false">C27*D27</f>
        <v>4</v>
      </c>
      <c r="F27" s="13" t="s">
        <v>20</v>
      </c>
      <c r="G27" s="9" t="s">
        <v>21</v>
      </c>
      <c r="H27" s="14" t="s">
        <v>22</v>
      </c>
      <c r="I27" s="14" t="s">
        <v>103</v>
      </c>
      <c r="J27" s="15" t="s">
        <v>34</v>
      </c>
      <c r="K27" s="9"/>
      <c r="L27" s="9" t="s">
        <v>104</v>
      </c>
    </row>
    <row r="28" customFormat="false" ht="28.5" hidden="false" customHeight="true" outlineLevel="0" collapsed="false">
      <c r="A28" s="9" t="s">
        <v>105</v>
      </c>
      <c r="B28" s="9" t="s">
        <v>19</v>
      </c>
      <c r="C28" s="10" t="n">
        <v>1</v>
      </c>
      <c r="D28" s="11" t="n">
        <v>4</v>
      </c>
      <c r="E28" s="12" t="n">
        <f aca="false">C28*D28</f>
        <v>4</v>
      </c>
      <c r="F28" s="13" t="s">
        <v>20</v>
      </c>
      <c r="G28" s="9" t="s">
        <v>21</v>
      </c>
      <c r="H28" s="14" t="s">
        <v>22</v>
      </c>
      <c r="I28" s="14" t="s">
        <v>106</v>
      </c>
      <c r="J28" s="15" t="s">
        <v>34</v>
      </c>
      <c r="K28" s="9"/>
      <c r="L28" s="9" t="s">
        <v>104</v>
      </c>
    </row>
    <row r="29" customFormat="false" ht="28.5" hidden="false" customHeight="true" outlineLevel="0" collapsed="false">
      <c r="A29" s="9" t="s">
        <v>107</v>
      </c>
      <c r="B29" s="9" t="s">
        <v>108</v>
      </c>
      <c r="C29" s="10" t="n">
        <v>1</v>
      </c>
      <c r="D29" s="11" t="n">
        <v>4</v>
      </c>
      <c r="E29" s="12" t="n">
        <f aca="false">C29*D29</f>
        <v>4</v>
      </c>
      <c r="F29" s="16" t="s">
        <v>43</v>
      </c>
      <c r="G29" s="9" t="s">
        <v>21</v>
      </c>
      <c r="H29" s="14" t="s">
        <v>109</v>
      </c>
      <c r="I29" s="14" t="s">
        <v>22</v>
      </c>
      <c r="J29" s="15" t="s">
        <v>45</v>
      </c>
      <c r="K29" s="9" t="s">
        <v>110</v>
      </c>
      <c r="L29" s="9" t="s">
        <v>111</v>
      </c>
    </row>
    <row r="30" customFormat="false" ht="28.5" hidden="false" customHeight="true" outlineLevel="0" collapsed="false">
      <c r="A30" s="9" t="s">
        <v>112</v>
      </c>
      <c r="B30" s="9" t="s">
        <v>113</v>
      </c>
      <c r="C30" s="10" t="n">
        <v>1</v>
      </c>
      <c r="D30" s="11" t="n">
        <v>5.5</v>
      </c>
      <c r="E30" s="12" t="n">
        <f aca="false">C30*D30</f>
        <v>5.5</v>
      </c>
      <c r="F30" s="16" t="s">
        <v>43</v>
      </c>
      <c r="G30" s="9" t="s">
        <v>21</v>
      </c>
      <c r="H30" s="14" t="s">
        <v>114</v>
      </c>
      <c r="I30" s="14" t="s">
        <v>22</v>
      </c>
      <c r="J30" s="15" t="s">
        <v>45</v>
      </c>
      <c r="K30" s="9" t="s">
        <v>115</v>
      </c>
      <c r="L30" s="9" t="s">
        <v>116</v>
      </c>
    </row>
    <row r="31" customFormat="false" ht="28.5" hidden="false" customHeight="true" outlineLevel="0" collapsed="false">
      <c r="A31" s="9" t="s">
        <v>117</v>
      </c>
      <c r="B31" s="9" t="s">
        <v>118</v>
      </c>
      <c r="C31" s="10" t="n">
        <v>1</v>
      </c>
      <c r="D31" s="11" t="n">
        <v>4.5</v>
      </c>
      <c r="E31" s="12" t="n">
        <f aca="false">C31*D31</f>
        <v>4.5</v>
      </c>
      <c r="F31" s="16" t="s">
        <v>119</v>
      </c>
      <c r="G31" s="9" t="s">
        <v>21</v>
      </c>
      <c r="H31" s="14" t="s">
        <v>120</v>
      </c>
      <c r="I31" s="14" t="s">
        <v>22</v>
      </c>
      <c r="J31" s="15" t="s">
        <v>45</v>
      </c>
      <c r="K31" s="9" t="s">
        <v>121</v>
      </c>
      <c r="L31" s="9" t="s">
        <v>122</v>
      </c>
    </row>
    <row r="32" customFormat="false" ht="15" hidden="false" customHeight="false" outlineLevel="0" collapsed="false">
      <c r="A32" s="19" t="s">
        <v>123</v>
      </c>
      <c r="B32" s="20"/>
      <c r="C32" s="20"/>
      <c r="D32" s="20"/>
      <c r="E32" s="21" t="n">
        <f aca="false">SUM(E25:E31)</f>
        <v>39</v>
      </c>
      <c r="F32" s="20"/>
      <c r="G32" s="20"/>
      <c r="H32" s="20"/>
      <c r="I32" s="20"/>
      <c r="J32" s="20"/>
      <c r="K32" s="20"/>
      <c r="L32" s="20"/>
    </row>
    <row r="34" customFormat="false" ht="15" hidden="false" customHeight="false" outlineLevel="0" collapsed="false">
      <c r="A34" s="8" t="s">
        <v>124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customFormat="false" ht="28.5" hidden="false" customHeight="true" outlineLevel="0" collapsed="false">
      <c r="A35" s="9" t="s">
        <v>125</v>
      </c>
      <c r="B35" s="9" t="s">
        <v>19</v>
      </c>
      <c r="C35" s="10" t="n">
        <v>1</v>
      </c>
      <c r="D35" s="11" t="n">
        <v>20</v>
      </c>
      <c r="E35" s="12" t="n">
        <f aca="false">C35*D35</f>
        <v>20</v>
      </c>
      <c r="F35" s="13" t="s">
        <v>20</v>
      </c>
      <c r="G35" s="9" t="s">
        <v>21</v>
      </c>
      <c r="H35" s="14" t="s">
        <v>22</v>
      </c>
      <c r="I35" s="14" t="s">
        <v>126</v>
      </c>
      <c r="J35" s="15" t="s">
        <v>34</v>
      </c>
      <c r="K35" s="9" t="s">
        <v>127</v>
      </c>
      <c r="L35" s="9" t="s">
        <v>128</v>
      </c>
    </row>
    <row r="36" customFormat="false" ht="28.5" hidden="false" customHeight="true" outlineLevel="0" collapsed="false">
      <c r="A36" s="9" t="s">
        <v>129</v>
      </c>
      <c r="B36" s="9" t="s">
        <v>19</v>
      </c>
      <c r="C36" s="10" t="n">
        <v>1</v>
      </c>
      <c r="D36" s="11" t="n">
        <v>8</v>
      </c>
      <c r="E36" s="12" t="n">
        <f aca="false">C36*D36</f>
        <v>8</v>
      </c>
      <c r="F36" s="16" t="s">
        <v>43</v>
      </c>
      <c r="G36" s="9" t="s">
        <v>21</v>
      </c>
      <c r="H36" s="14" t="s">
        <v>130</v>
      </c>
      <c r="I36" s="14" t="s">
        <v>22</v>
      </c>
      <c r="J36" s="15" t="s">
        <v>45</v>
      </c>
      <c r="K36" s="9" t="s">
        <v>131</v>
      </c>
      <c r="L36" s="9" t="s">
        <v>132</v>
      </c>
    </row>
    <row r="37" customFormat="false" ht="28.5" hidden="false" customHeight="true" outlineLevel="0" collapsed="false">
      <c r="A37" s="9" t="s">
        <v>133</v>
      </c>
      <c r="B37" s="9" t="s">
        <v>19</v>
      </c>
      <c r="C37" s="10" t="n">
        <v>1</v>
      </c>
      <c r="D37" s="11" t="n">
        <v>2</v>
      </c>
      <c r="E37" s="12" t="n">
        <f aca="false">C37*D37</f>
        <v>2</v>
      </c>
      <c r="F37" s="16" t="s">
        <v>43</v>
      </c>
      <c r="G37" s="9" t="s">
        <v>21</v>
      </c>
      <c r="H37" s="14" t="s">
        <v>134</v>
      </c>
      <c r="I37" s="14" t="s">
        <v>22</v>
      </c>
      <c r="J37" s="15" t="s">
        <v>45</v>
      </c>
      <c r="K37" s="9"/>
      <c r="L37" s="9" t="s">
        <v>135</v>
      </c>
    </row>
    <row r="38" customFormat="false" ht="28.5" hidden="false" customHeight="true" outlineLevel="0" collapsed="false">
      <c r="A38" s="9" t="s">
        <v>136</v>
      </c>
      <c r="B38" s="9" t="s">
        <v>19</v>
      </c>
      <c r="C38" s="10" t="n">
        <v>1</v>
      </c>
      <c r="D38" s="11" t="n">
        <v>5</v>
      </c>
      <c r="E38" s="12" t="n">
        <f aca="false">C38*D38</f>
        <v>5</v>
      </c>
      <c r="F38" s="16" t="s">
        <v>43</v>
      </c>
      <c r="G38" s="9" t="s">
        <v>21</v>
      </c>
      <c r="H38" s="14" t="s">
        <v>137</v>
      </c>
      <c r="I38" s="14" t="s">
        <v>22</v>
      </c>
      <c r="J38" s="15" t="s">
        <v>45</v>
      </c>
      <c r="K38" s="9" t="s">
        <v>138</v>
      </c>
      <c r="L38" s="9" t="s">
        <v>139</v>
      </c>
    </row>
    <row r="39" customFormat="false" ht="28.5" hidden="false" customHeight="true" outlineLevel="0" collapsed="false">
      <c r="A39" s="9" t="s">
        <v>140</v>
      </c>
      <c r="B39" s="9" t="s">
        <v>141</v>
      </c>
      <c r="C39" s="10" t="n">
        <v>6</v>
      </c>
      <c r="D39" s="11" t="n">
        <v>1.6</v>
      </c>
      <c r="E39" s="12" t="n">
        <f aca="false">C39*D39</f>
        <v>9.6</v>
      </c>
      <c r="F39" s="16" t="s">
        <v>43</v>
      </c>
      <c r="G39" s="9" t="s">
        <v>21</v>
      </c>
      <c r="H39" s="14" t="s">
        <v>142</v>
      </c>
      <c r="I39" s="14" t="s">
        <v>22</v>
      </c>
      <c r="J39" s="15" t="s">
        <v>45</v>
      </c>
      <c r="K39" s="9" t="s">
        <v>143</v>
      </c>
      <c r="L39" s="9" t="s">
        <v>144</v>
      </c>
    </row>
    <row r="40" customFormat="false" ht="28.5" hidden="false" customHeight="true" outlineLevel="0" collapsed="false">
      <c r="A40" s="9" t="s">
        <v>145</v>
      </c>
      <c r="B40" s="9" t="s">
        <v>146</v>
      </c>
      <c r="C40" s="10" t="n">
        <v>2</v>
      </c>
      <c r="D40" s="11" t="n">
        <v>1.5</v>
      </c>
      <c r="E40" s="12" t="n">
        <f aca="false">C40*D40</f>
        <v>3</v>
      </c>
      <c r="F40" s="16" t="s">
        <v>43</v>
      </c>
      <c r="G40" s="9" t="s">
        <v>21</v>
      </c>
      <c r="H40" s="14" t="s">
        <v>147</v>
      </c>
      <c r="I40" s="14" t="s">
        <v>22</v>
      </c>
      <c r="J40" s="15" t="s">
        <v>45</v>
      </c>
      <c r="K40" s="9" t="s">
        <v>148</v>
      </c>
      <c r="L40" s="9" t="s">
        <v>149</v>
      </c>
    </row>
    <row r="41" customFormat="false" ht="28.5" hidden="false" customHeight="true" outlineLevel="0" collapsed="false">
      <c r="A41" s="9" t="s">
        <v>150</v>
      </c>
      <c r="B41" s="9" t="s">
        <v>19</v>
      </c>
      <c r="C41" s="10" t="n">
        <v>1</v>
      </c>
      <c r="D41" s="11" t="n">
        <v>6</v>
      </c>
      <c r="E41" s="12" t="n">
        <f aca="false">C41*D41</f>
        <v>6</v>
      </c>
      <c r="F41" s="13" t="s">
        <v>20</v>
      </c>
      <c r="G41" s="9" t="s">
        <v>21</v>
      </c>
      <c r="H41" s="14" t="s">
        <v>22</v>
      </c>
      <c r="I41" s="14" t="s">
        <v>151</v>
      </c>
      <c r="J41" s="15" t="s">
        <v>34</v>
      </c>
      <c r="K41" s="9" t="s">
        <v>152</v>
      </c>
      <c r="L41" s="9" t="s">
        <v>153</v>
      </c>
    </row>
    <row r="42" customFormat="false" ht="28.5" hidden="false" customHeight="true" outlineLevel="0" collapsed="false">
      <c r="A42" s="9" t="s">
        <v>154</v>
      </c>
      <c r="B42" s="9" t="s">
        <v>155</v>
      </c>
      <c r="C42" s="10" t="n">
        <v>1</v>
      </c>
      <c r="D42" s="11" t="n">
        <v>3</v>
      </c>
      <c r="E42" s="12" t="n">
        <f aca="false">C42*D42</f>
        <v>3</v>
      </c>
      <c r="F42" s="13" t="s">
        <v>20</v>
      </c>
      <c r="G42" s="9" t="s">
        <v>21</v>
      </c>
      <c r="H42" s="14" t="s">
        <v>22</v>
      </c>
      <c r="I42" s="14" t="s">
        <v>156</v>
      </c>
      <c r="J42" s="15" t="s">
        <v>34</v>
      </c>
      <c r="K42" s="9" t="s">
        <v>157</v>
      </c>
      <c r="L42" s="9" t="s">
        <v>158</v>
      </c>
    </row>
    <row r="43" customFormat="false" ht="28.5" hidden="false" customHeight="true" outlineLevel="0" collapsed="false">
      <c r="A43" s="9" t="s">
        <v>159</v>
      </c>
      <c r="B43" s="9" t="s">
        <v>160</v>
      </c>
      <c r="C43" s="10" t="n">
        <v>1</v>
      </c>
      <c r="D43" s="11" t="n">
        <v>2.5</v>
      </c>
      <c r="E43" s="12" t="n">
        <f aca="false">C43*D43</f>
        <v>2.5</v>
      </c>
      <c r="F43" s="16" t="s">
        <v>43</v>
      </c>
      <c r="G43" s="9" t="s">
        <v>21</v>
      </c>
      <c r="H43" s="14" t="s">
        <v>161</v>
      </c>
      <c r="I43" s="14" t="s">
        <v>22</v>
      </c>
      <c r="J43" s="15" t="s">
        <v>45</v>
      </c>
      <c r="K43" s="9"/>
      <c r="L43" s="9" t="s">
        <v>162</v>
      </c>
    </row>
    <row r="44" customFormat="false" ht="28.5" hidden="false" customHeight="true" outlineLevel="0" collapsed="false">
      <c r="A44" s="9" t="s">
        <v>163</v>
      </c>
      <c r="B44" s="9" t="s">
        <v>164</v>
      </c>
      <c r="C44" s="10" t="n">
        <v>1</v>
      </c>
      <c r="D44" s="11" t="n">
        <v>5</v>
      </c>
      <c r="E44" s="12" t="n">
        <f aca="false">C44*D44</f>
        <v>5</v>
      </c>
      <c r="F44" s="13" t="s">
        <v>20</v>
      </c>
      <c r="G44" s="9" t="s">
        <v>21</v>
      </c>
      <c r="H44" s="14" t="s">
        <v>22</v>
      </c>
      <c r="I44" s="14" t="s">
        <v>165</v>
      </c>
      <c r="J44" s="15" t="s">
        <v>34</v>
      </c>
      <c r="K44" s="9"/>
      <c r="L44" s="9" t="s">
        <v>166</v>
      </c>
    </row>
    <row r="45" customFormat="false" ht="28.5" hidden="false" customHeight="true" outlineLevel="0" collapsed="false">
      <c r="A45" s="9" t="s">
        <v>167</v>
      </c>
      <c r="B45" s="9" t="s">
        <v>164</v>
      </c>
      <c r="C45" s="10" t="n">
        <v>1</v>
      </c>
      <c r="D45" s="11" t="n">
        <v>3.5</v>
      </c>
      <c r="E45" s="12" t="n">
        <f aca="false">C45*D45</f>
        <v>3.5</v>
      </c>
      <c r="F45" s="13" t="s">
        <v>20</v>
      </c>
      <c r="G45" s="9" t="s">
        <v>21</v>
      </c>
      <c r="H45" s="14" t="s">
        <v>22</v>
      </c>
      <c r="I45" s="14" t="s">
        <v>168</v>
      </c>
      <c r="J45" s="15" t="s">
        <v>34</v>
      </c>
      <c r="K45" s="9"/>
      <c r="L45" s="9" t="s">
        <v>169</v>
      </c>
    </row>
    <row r="46" customFormat="false" ht="15" hidden="false" customHeight="false" outlineLevel="0" collapsed="false">
      <c r="A46" s="19" t="s">
        <v>170</v>
      </c>
      <c r="B46" s="20"/>
      <c r="C46" s="20"/>
      <c r="D46" s="20"/>
      <c r="E46" s="21" t="n">
        <f aca="false">SUM(E35:E45)</f>
        <v>67.6</v>
      </c>
      <c r="F46" s="20"/>
      <c r="G46" s="20"/>
      <c r="H46" s="20"/>
      <c r="I46" s="20"/>
      <c r="J46" s="20"/>
      <c r="K46" s="20"/>
      <c r="L46" s="20"/>
    </row>
    <row r="48" customFormat="false" ht="15" hidden="false" customHeight="false" outlineLevel="0" collapsed="false">
      <c r="A48" s="8" t="s">
        <v>171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customFormat="false" ht="28.5" hidden="false" customHeight="true" outlineLevel="0" collapsed="false">
      <c r="A49" s="9" t="s">
        <v>172</v>
      </c>
      <c r="B49" s="9" t="s">
        <v>173</v>
      </c>
      <c r="C49" s="10" t="n">
        <v>1</v>
      </c>
      <c r="D49" s="11" t="n">
        <v>1</v>
      </c>
      <c r="E49" s="12" t="n">
        <f aca="false">C49*D49</f>
        <v>1</v>
      </c>
      <c r="F49" s="16" t="s">
        <v>174</v>
      </c>
      <c r="G49" s="9" t="s">
        <v>21</v>
      </c>
      <c r="H49" s="14" t="s">
        <v>175</v>
      </c>
      <c r="I49" s="14" t="s">
        <v>22</v>
      </c>
      <c r="J49" s="15" t="s">
        <v>45</v>
      </c>
      <c r="K49" s="9" t="s">
        <v>176</v>
      </c>
      <c r="L49" s="9" t="s">
        <v>177</v>
      </c>
    </row>
    <row r="50" customFormat="false" ht="28.5" hidden="false" customHeight="true" outlineLevel="0" collapsed="false">
      <c r="A50" s="9" t="s">
        <v>178</v>
      </c>
      <c r="B50" s="9" t="s">
        <v>179</v>
      </c>
      <c r="C50" s="10" t="n">
        <v>1</v>
      </c>
      <c r="D50" s="11" t="n">
        <v>1</v>
      </c>
      <c r="E50" s="12" t="n">
        <f aca="false">C50*D50</f>
        <v>1</v>
      </c>
      <c r="F50" s="16" t="s">
        <v>174</v>
      </c>
      <c r="G50" s="9" t="s">
        <v>21</v>
      </c>
      <c r="H50" s="14" t="s">
        <v>180</v>
      </c>
      <c r="I50" s="14" t="s">
        <v>22</v>
      </c>
      <c r="J50" s="15" t="s">
        <v>45</v>
      </c>
      <c r="K50" s="9"/>
      <c r="L50" s="9" t="s">
        <v>177</v>
      </c>
    </row>
    <row r="51" customFormat="false" ht="28.5" hidden="false" customHeight="true" outlineLevel="0" collapsed="false">
      <c r="A51" s="9" t="s">
        <v>181</v>
      </c>
      <c r="B51" s="9" t="s">
        <v>182</v>
      </c>
      <c r="C51" s="10" t="n">
        <v>1</v>
      </c>
      <c r="D51" s="11" t="n">
        <v>1</v>
      </c>
      <c r="E51" s="12" t="n">
        <f aca="false">C51*D51</f>
        <v>1</v>
      </c>
      <c r="F51" s="16" t="s">
        <v>174</v>
      </c>
      <c r="G51" s="9" t="s">
        <v>21</v>
      </c>
      <c r="H51" s="14" t="s">
        <v>183</v>
      </c>
      <c r="I51" s="14" t="s">
        <v>22</v>
      </c>
      <c r="J51" s="15" t="s">
        <v>45</v>
      </c>
      <c r="K51" s="9"/>
      <c r="L51" s="9" t="s">
        <v>177</v>
      </c>
    </row>
    <row r="52" customFormat="false" ht="28.5" hidden="false" customHeight="true" outlineLevel="0" collapsed="false">
      <c r="A52" s="9" t="s">
        <v>184</v>
      </c>
      <c r="B52" s="9" t="s">
        <v>182</v>
      </c>
      <c r="C52" s="10" t="n">
        <v>1</v>
      </c>
      <c r="D52" s="11" t="n">
        <v>1.5</v>
      </c>
      <c r="E52" s="12" t="n">
        <f aca="false">C52*D52</f>
        <v>1.5</v>
      </c>
      <c r="F52" s="16" t="s">
        <v>174</v>
      </c>
      <c r="G52" s="9" t="s">
        <v>21</v>
      </c>
      <c r="H52" s="14" t="s">
        <v>185</v>
      </c>
      <c r="I52" s="14" t="s">
        <v>22</v>
      </c>
      <c r="J52" s="15" t="s">
        <v>45</v>
      </c>
      <c r="K52" s="9"/>
      <c r="L52" s="9" t="s">
        <v>177</v>
      </c>
    </row>
    <row r="53" customFormat="false" ht="28.5" hidden="false" customHeight="true" outlineLevel="0" collapsed="false">
      <c r="A53" s="9" t="s">
        <v>186</v>
      </c>
      <c r="B53" s="9" t="s">
        <v>187</v>
      </c>
      <c r="C53" s="10" t="n">
        <v>1</v>
      </c>
      <c r="D53" s="11" t="n">
        <v>1.5</v>
      </c>
      <c r="E53" s="12" t="n">
        <f aca="false">C53*D53</f>
        <v>1.5</v>
      </c>
      <c r="F53" s="16" t="s">
        <v>174</v>
      </c>
      <c r="G53" s="9" t="s">
        <v>21</v>
      </c>
      <c r="H53" s="14" t="s">
        <v>188</v>
      </c>
      <c r="I53" s="14" t="s">
        <v>22</v>
      </c>
      <c r="J53" s="15" t="s">
        <v>45</v>
      </c>
      <c r="K53" s="9"/>
      <c r="L53" s="9" t="s">
        <v>177</v>
      </c>
    </row>
    <row r="54" customFormat="false" ht="28.5" hidden="false" customHeight="true" outlineLevel="0" collapsed="false">
      <c r="A54" s="9" t="s">
        <v>189</v>
      </c>
      <c r="B54" s="9" t="s">
        <v>190</v>
      </c>
      <c r="C54" s="10" t="n">
        <v>1</v>
      </c>
      <c r="D54" s="11" t="n">
        <v>3</v>
      </c>
      <c r="E54" s="12" t="n">
        <f aca="false">C54*D54</f>
        <v>3</v>
      </c>
      <c r="F54" s="16" t="s">
        <v>174</v>
      </c>
      <c r="G54" s="9" t="s">
        <v>21</v>
      </c>
      <c r="H54" s="14" t="s">
        <v>191</v>
      </c>
      <c r="I54" s="14" t="s">
        <v>22</v>
      </c>
      <c r="J54" s="15" t="s">
        <v>45</v>
      </c>
      <c r="K54" s="9"/>
      <c r="L54" s="9" t="s">
        <v>177</v>
      </c>
    </row>
    <row r="55" customFormat="false" ht="28.5" hidden="false" customHeight="true" outlineLevel="0" collapsed="false">
      <c r="A55" s="9" t="s">
        <v>192</v>
      </c>
      <c r="B55" s="9" t="s">
        <v>193</v>
      </c>
      <c r="C55" s="10" t="n">
        <v>1</v>
      </c>
      <c r="D55" s="11" t="n">
        <v>1.5</v>
      </c>
      <c r="E55" s="12" t="n">
        <f aca="false">C55*D55</f>
        <v>1.5</v>
      </c>
      <c r="F55" s="16" t="s">
        <v>174</v>
      </c>
      <c r="G55" s="9" t="s">
        <v>21</v>
      </c>
      <c r="H55" s="14" t="s">
        <v>194</v>
      </c>
      <c r="I55" s="14" t="s">
        <v>22</v>
      </c>
      <c r="J55" s="15" t="s">
        <v>45</v>
      </c>
      <c r="K55" s="9"/>
      <c r="L55" s="9" t="s">
        <v>177</v>
      </c>
    </row>
    <row r="56" customFormat="false" ht="28.5" hidden="false" customHeight="true" outlineLevel="0" collapsed="false">
      <c r="A56" s="9" t="s">
        <v>195</v>
      </c>
      <c r="B56" s="9" t="s">
        <v>196</v>
      </c>
      <c r="C56" s="10" t="n">
        <v>1</v>
      </c>
      <c r="D56" s="11" t="n">
        <v>1.5</v>
      </c>
      <c r="E56" s="12" t="n">
        <f aca="false">C56*D56</f>
        <v>1.5</v>
      </c>
      <c r="F56" s="16" t="s">
        <v>174</v>
      </c>
      <c r="G56" s="9" t="s">
        <v>21</v>
      </c>
      <c r="H56" s="14" t="s">
        <v>197</v>
      </c>
      <c r="I56" s="14" t="s">
        <v>22</v>
      </c>
      <c r="J56" s="15" t="s">
        <v>45</v>
      </c>
      <c r="K56" s="9"/>
      <c r="L56" s="9" t="s">
        <v>177</v>
      </c>
    </row>
    <row r="57" customFormat="false" ht="28.5" hidden="false" customHeight="true" outlineLevel="0" collapsed="false">
      <c r="A57" s="9" t="s">
        <v>198</v>
      </c>
      <c r="B57" s="9" t="s">
        <v>193</v>
      </c>
      <c r="C57" s="10" t="n">
        <v>1</v>
      </c>
      <c r="D57" s="11" t="n">
        <v>1</v>
      </c>
      <c r="E57" s="12" t="n">
        <f aca="false">C57*D57</f>
        <v>1</v>
      </c>
      <c r="F57" s="16" t="s">
        <v>174</v>
      </c>
      <c r="G57" s="9" t="s">
        <v>21</v>
      </c>
      <c r="H57" s="14" t="s">
        <v>199</v>
      </c>
      <c r="I57" s="14" t="s">
        <v>22</v>
      </c>
      <c r="J57" s="15" t="s">
        <v>45</v>
      </c>
      <c r="K57" s="9"/>
      <c r="L57" s="9" t="s">
        <v>177</v>
      </c>
    </row>
    <row r="58" customFormat="false" ht="28.5" hidden="false" customHeight="true" outlineLevel="0" collapsed="false">
      <c r="A58" s="9" t="s">
        <v>200</v>
      </c>
      <c r="B58" s="9" t="s">
        <v>201</v>
      </c>
      <c r="C58" s="10" t="n">
        <v>1</v>
      </c>
      <c r="D58" s="11" t="n">
        <v>1.5</v>
      </c>
      <c r="E58" s="12" t="n">
        <f aca="false">C58*D58</f>
        <v>1.5</v>
      </c>
      <c r="F58" s="16" t="s">
        <v>174</v>
      </c>
      <c r="G58" s="9" t="s">
        <v>21</v>
      </c>
      <c r="H58" s="14" t="s">
        <v>202</v>
      </c>
      <c r="I58" s="14" t="s">
        <v>22</v>
      </c>
      <c r="J58" s="15" t="s">
        <v>45</v>
      </c>
      <c r="K58" s="9"/>
      <c r="L58" s="9" t="s">
        <v>177</v>
      </c>
    </row>
    <row r="59" customFormat="false" ht="28.5" hidden="false" customHeight="true" outlineLevel="0" collapsed="false">
      <c r="A59" s="9" t="s">
        <v>203</v>
      </c>
      <c r="B59" s="9" t="s">
        <v>204</v>
      </c>
      <c r="C59" s="10" t="n">
        <v>1</v>
      </c>
      <c r="D59" s="11" t="n">
        <v>1.5</v>
      </c>
      <c r="E59" s="12" t="n">
        <f aca="false">C59*D59</f>
        <v>1.5</v>
      </c>
      <c r="F59" s="16" t="s">
        <v>174</v>
      </c>
      <c r="G59" s="9" t="s">
        <v>21</v>
      </c>
      <c r="H59" s="14" t="s">
        <v>205</v>
      </c>
      <c r="I59" s="14" t="s">
        <v>22</v>
      </c>
      <c r="J59" s="15" t="s">
        <v>45</v>
      </c>
      <c r="K59" s="9"/>
      <c r="L59" s="9" t="s">
        <v>177</v>
      </c>
    </row>
    <row r="60" customFormat="false" ht="28.5" hidden="false" customHeight="true" outlineLevel="0" collapsed="false">
      <c r="A60" s="9" t="s">
        <v>206</v>
      </c>
      <c r="B60" s="9" t="s">
        <v>207</v>
      </c>
      <c r="C60" s="10" t="n">
        <v>1</v>
      </c>
      <c r="D60" s="11" t="n">
        <v>2.5</v>
      </c>
      <c r="E60" s="12" t="n">
        <f aca="false">C60*D60</f>
        <v>2.5</v>
      </c>
      <c r="F60" s="16" t="s">
        <v>174</v>
      </c>
      <c r="G60" s="9" t="s">
        <v>21</v>
      </c>
      <c r="H60" s="14" t="s">
        <v>208</v>
      </c>
      <c r="I60" s="14" t="s">
        <v>22</v>
      </c>
      <c r="J60" s="15" t="s">
        <v>45</v>
      </c>
      <c r="K60" s="9"/>
      <c r="L60" s="9" t="s">
        <v>177</v>
      </c>
    </row>
    <row r="61" customFormat="false" ht="28.5" hidden="false" customHeight="true" outlineLevel="0" collapsed="false">
      <c r="A61" s="9" t="s">
        <v>209</v>
      </c>
      <c r="B61" s="9" t="s">
        <v>193</v>
      </c>
      <c r="C61" s="10" t="n">
        <v>1</v>
      </c>
      <c r="D61" s="11" t="n">
        <v>2</v>
      </c>
      <c r="E61" s="12" t="n">
        <f aca="false">C61*D61</f>
        <v>2</v>
      </c>
      <c r="F61" s="16" t="s">
        <v>174</v>
      </c>
      <c r="G61" s="9" t="s">
        <v>21</v>
      </c>
      <c r="H61" s="14" t="s">
        <v>210</v>
      </c>
      <c r="I61" s="14" t="s">
        <v>22</v>
      </c>
      <c r="J61" s="15" t="s">
        <v>45</v>
      </c>
      <c r="K61" s="9"/>
      <c r="L61" s="9" t="s">
        <v>177</v>
      </c>
    </row>
    <row r="62" customFormat="false" ht="28.5" hidden="false" customHeight="true" outlineLevel="0" collapsed="false">
      <c r="A62" s="9" t="s">
        <v>211</v>
      </c>
      <c r="B62" s="9" t="s">
        <v>182</v>
      </c>
      <c r="C62" s="10" t="n">
        <v>1</v>
      </c>
      <c r="D62" s="11" t="n">
        <v>2</v>
      </c>
      <c r="E62" s="12" t="n">
        <f aca="false">C62*D62</f>
        <v>2</v>
      </c>
      <c r="F62" s="16" t="s">
        <v>174</v>
      </c>
      <c r="G62" s="9" t="s">
        <v>21</v>
      </c>
      <c r="H62" s="14" t="s">
        <v>212</v>
      </c>
      <c r="I62" s="14" t="s">
        <v>22</v>
      </c>
      <c r="J62" s="15" t="s">
        <v>45</v>
      </c>
      <c r="K62" s="9"/>
      <c r="L62" s="9" t="s">
        <v>177</v>
      </c>
    </row>
    <row r="63" customFormat="false" ht="28.5" hidden="false" customHeight="true" outlineLevel="0" collapsed="false">
      <c r="A63" s="9" t="s">
        <v>213</v>
      </c>
      <c r="B63" s="9" t="s">
        <v>214</v>
      </c>
      <c r="C63" s="10" t="n">
        <v>1</v>
      </c>
      <c r="D63" s="11" t="n">
        <v>2</v>
      </c>
      <c r="E63" s="12" t="n">
        <f aca="false">C63*D63</f>
        <v>2</v>
      </c>
      <c r="F63" s="16" t="s">
        <v>174</v>
      </c>
      <c r="G63" s="9" t="s">
        <v>21</v>
      </c>
      <c r="H63" s="14" t="s">
        <v>215</v>
      </c>
      <c r="I63" s="14" t="s">
        <v>22</v>
      </c>
      <c r="J63" s="15" t="s">
        <v>45</v>
      </c>
      <c r="K63" s="9"/>
      <c r="L63" s="9" t="s">
        <v>177</v>
      </c>
    </row>
    <row r="64" customFormat="false" ht="28.5" hidden="false" customHeight="true" outlineLevel="0" collapsed="false">
      <c r="A64" s="9" t="s">
        <v>216</v>
      </c>
      <c r="B64" s="9" t="s">
        <v>214</v>
      </c>
      <c r="C64" s="10" t="n">
        <v>1</v>
      </c>
      <c r="D64" s="11" t="n">
        <v>2</v>
      </c>
      <c r="E64" s="12" t="n">
        <f aca="false">C64*D64</f>
        <v>2</v>
      </c>
      <c r="F64" s="16" t="s">
        <v>174</v>
      </c>
      <c r="G64" s="9" t="s">
        <v>21</v>
      </c>
      <c r="H64" s="14" t="s">
        <v>217</v>
      </c>
      <c r="I64" s="14" t="s">
        <v>22</v>
      </c>
      <c r="J64" s="15" t="s">
        <v>45</v>
      </c>
      <c r="K64" s="9"/>
      <c r="L64" s="9" t="s">
        <v>177</v>
      </c>
    </row>
    <row r="65" customFormat="false" ht="28.5" hidden="false" customHeight="true" outlineLevel="0" collapsed="false">
      <c r="A65" s="9" t="s">
        <v>218</v>
      </c>
      <c r="B65" s="9" t="s">
        <v>193</v>
      </c>
      <c r="C65" s="10" t="n">
        <v>1</v>
      </c>
      <c r="D65" s="11" t="n">
        <v>1</v>
      </c>
      <c r="E65" s="12" t="n">
        <f aca="false">C65*D65</f>
        <v>1</v>
      </c>
      <c r="F65" s="16" t="s">
        <v>174</v>
      </c>
      <c r="G65" s="9" t="s">
        <v>21</v>
      </c>
      <c r="H65" s="14" t="s">
        <v>219</v>
      </c>
      <c r="I65" s="14" t="s">
        <v>22</v>
      </c>
      <c r="J65" s="15" t="s">
        <v>45</v>
      </c>
      <c r="K65" s="9"/>
      <c r="L65" s="9" t="s">
        <v>177</v>
      </c>
    </row>
    <row r="66" customFormat="false" ht="28.5" hidden="false" customHeight="true" outlineLevel="0" collapsed="false">
      <c r="A66" s="9" t="s">
        <v>220</v>
      </c>
      <c r="B66" s="9" t="s">
        <v>221</v>
      </c>
      <c r="C66" s="10" t="n">
        <v>1</v>
      </c>
      <c r="D66" s="11" t="n">
        <v>1.5</v>
      </c>
      <c r="E66" s="12" t="n">
        <f aca="false">C66*D66</f>
        <v>1.5</v>
      </c>
      <c r="F66" s="16" t="s">
        <v>174</v>
      </c>
      <c r="G66" s="9" t="s">
        <v>21</v>
      </c>
      <c r="H66" s="14" t="s">
        <v>222</v>
      </c>
      <c r="I66" s="14" t="s">
        <v>22</v>
      </c>
      <c r="J66" s="15" t="s">
        <v>45</v>
      </c>
      <c r="K66" s="9"/>
      <c r="L66" s="9" t="s">
        <v>177</v>
      </c>
    </row>
    <row r="67" customFormat="false" ht="28.5" hidden="false" customHeight="true" outlineLevel="0" collapsed="false">
      <c r="A67" s="9" t="s">
        <v>223</v>
      </c>
      <c r="B67" s="9" t="s">
        <v>224</v>
      </c>
      <c r="C67" s="10" t="n">
        <v>1</v>
      </c>
      <c r="D67" s="11" t="n">
        <v>1</v>
      </c>
      <c r="E67" s="12" t="n">
        <f aca="false">C67*D67</f>
        <v>1</v>
      </c>
      <c r="F67" s="16" t="s">
        <v>174</v>
      </c>
      <c r="G67" s="9" t="s">
        <v>21</v>
      </c>
      <c r="H67" s="14" t="s">
        <v>225</v>
      </c>
      <c r="I67" s="14" t="s">
        <v>22</v>
      </c>
      <c r="J67" s="15" t="s">
        <v>45</v>
      </c>
      <c r="K67" s="9"/>
      <c r="L67" s="9" t="s">
        <v>177</v>
      </c>
    </row>
    <row r="68" customFormat="false" ht="28.5" hidden="false" customHeight="true" outlineLevel="0" collapsed="false">
      <c r="A68" s="9" t="s">
        <v>226</v>
      </c>
      <c r="B68" s="9" t="s">
        <v>227</v>
      </c>
      <c r="C68" s="10" t="n">
        <v>1</v>
      </c>
      <c r="D68" s="11" t="n">
        <v>1</v>
      </c>
      <c r="E68" s="12" t="n">
        <f aca="false">C68*D68</f>
        <v>1</v>
      </c>
      <c r="F68" s="16" t="s">
        <v>174</v>
      </c>
      <c r="G68" s="9" t="s">
        <v>21</v>
      </c>
      <c r="H68" s="14" t="s">
        <v>228</v>
      </c>
      <c r="I68" s="14" t="s">
        <v>22</v>
      </c>
      <c r="J68" s="15" t="s">
        <v>45</v>
      </c>
      <c r="K68" s="9"/>
      <c r="L68" s="9" t="s">
        <v>177</v>
      </c>
    </row>
    <row r="69" customFormat="false" ht="28.5" hidden="false" customHeight="true" outlineLevel="0" collapsed="false">
      <c r="A69" s="9" t="s">
        <v>229</v>
      </c>
      <c r="B69" s="9" t="s">
        <v>230</v>
      </c>
      <c r="C69" s="10" t="n">
        <v>1</v>
      </c>
      <c r="D69" s="11" t="n">
        <v>1.5</v>
      </c>
      <c r="E69" s="12" t="n">
        <f aca="false">C69*D69</f>
        <v>1.5</v>
      </c>
      <c r="F69" s="16" t="s">
        <v>174</v>
      </c>
      <c r="G69" s="9" t="s">
        <v>21</v>
      </c>
      <c r="H69" s="14" t="s">
        <v>231</v>
      </c>
      <c r="I69" s="17"/>
      <c r="J69" s="15" t="s">
        <v>45</v>
      </c>
      <c r="K69" s="9"/>
      <c r="L69" s="9" t="s">
        <v>177</v>
      </c>
    </row>
    <row r="70" customFormat="false" ht="28.5" hidden="false" customHeight="true" outlineLevel="0" collapsed="false">
      <c r="A70" s="9" t="s">
        <v>232</v>
      </c>
      <c r="B70" s="9" t="s">
        <v>233</v>
      </c>
      <c r="C70" s="10" t="n">
        <v>1</v>
      </c>
      <c r="D70" s="11" t="n">
        <v>1</v>
      </c>
      <c r="E70" s="12" t="n">
        <f aca="false">C70*D70</f>
        <v>1</v>
      </c>
      <c r="F70" s="16" t="s">
        <v>174</v>
      </c>
      <c r="G70" s="9" t="s">
        <v>21</v>
      </c>
      <c r="H70" s="14" t="s">
        <v>234</v>
      </c>
      <c r="I70" s="17"/>
      <c r="J70" s="15" t="s">
        <v>45</v>
      </c>
      <c r="K70" s="9"/>
      <c r="L70" s="9" t="s">
        <v>177</v>
      </c>
    </row>
    <row r="71" customFormat="false" ht="66.75" hidden="false" customHeight="true" outlineLevel="0" collapsed="false">
      <c r="A71" s="9" t="s">
        <v>235</v>
      </c>
      <c r="B71" s="9" t="s">
        <v>236</v>
      </c>
      <c r="C71" s="10" t="n">
        <v>7</v>
      </c>
      <c r="D71" s="11" t="n">
        <v>1</v>
      </c>
      <c r="E71" s="12" t="n">
        <f aca="false">C71*D71</f>
        <v>7</v>
      </c>
      <c r="F71" s="16" t="s">
        <v>174</v>
      </c>
      <c r="G71" s="9" t="s">
        <v>21</v>
      </c>
      <c r="H71" s="14" t="s">
        <v>237</v>
      </c>
      <c r="I71" s="14" t="s">
        <v>22</v>
      </c>
      <c r="J71" s="15" t="s">
        <v>45</v>
      </c>
      <c r="K71" s="9" t="s">
        <v>238</v>
      </c>
      <c r="L71" s="9" t="s">
        <v>177</v>
      </c>
    </row>
    <row r="72" customFormat="false" ht="28.5" hidden="false" customHeight="true" outlineLevel="0" collapsed="false">
      <c r="A72" s="9" t="s">
        <v>239</v>
      </c>
      <c r="B72" s="9" t="s">
        <v>240</v>
      </c>
      <c r="C72" s="10" t="n">
        <v>1</v>
      </c>
      <c r="D72" s="11" t="n">
        <v>2.5</v>
      </c>
      <c r="E72" s="12" t="n">
        <f aca="false">C72*D72</f>
        <v>2.5</v>
      </c>
      <c r="F72" s="13" t="s">
        <v>241</v>
      </c>
      <c r="G72" s="9" t="s">
        <v>242</v>
      </c>
      <c r="H72" s="14" t="s">
        <v>243</v>
      </c>
      <c r="I72" s="17"/>
      <c r="J72" s="15" t="s">
        <v>244</v>
      </c>
      <c r="K72" s="9" t="s">
        <v>245</v>
      </c>
      <c r="L72" s="9" t="s">
        <v>246</v>
      </c>
    </row>
    <row r="73" customFormat="false" ht="28.5" hidden="false" customHeight="true" outlineLevel="0" collapsed="false">
      <c r="A73" s="9" t="s">
        <v>247</v>
      </c>
      <c r="B73" s="9" t="s">
        <v>248</v>
      </c>
      <c r="C73" s="10" t="n">
        <v>1</v>
      </c>
      <c r="D73" s="11" t="n">
        <v>3.5</v>
      </c>
      <c r="E73" s="12" t="n">
        <f aca="false">C73*D73</f>
        <v>3.5</v>
      </c>
      <c r="F73" s="16" t="s">
        <v>43</v>
      </c>
      <c r="G73" s="9" t="s">
        <v>249</v>
      </c>
      <c r="H73" s="14" t="s">
        <v>22</v>
      </c>
      <c r="I73" s="14" t="s">
        <v>250</v>
      </c>
      <c r="J73" s="15" t="s">
        <v>34</v>
      </c>
      <c r="K73" s="9" t="s">
        <v>251</v>
      </c>
      <c r="L73" s="9" t="s">
        <v>252</v>
      </c>
    </row>
    <row r="74" customFormat="false" ht="15" hidden="false" customHeight="false" outlineLevel="0" collapsed="false">
      <c r="A74" s="19" t="s">
        <v>253</v>
      </c>
      <c r="B74" s="20"/>
      <c r="C74" s="20"/>
      <c r="D74" s="20"/>
      <c r="E74" s="21" t="n">
        <f aca="false">SUM(E49:E73)</f>
        <v>46.5</v>
      </c>
      <c r="F74" s="20"/>
      <c r="G74" s="20"/>
      <c r="H74" s="20"/>
      <c r="I74" s="20"/>
      <c r="J74" s="20"/>
      <c r="K74" s="20"/>
      <c r="L74" s="20"/>
    </row>
    <row r="76" customFormat="false" ht="18" hidden="false" customHeight="true" outlineLevel="0" collapsed="false">
      <c r="A76" s="22" t="s">
        <v>254</v>
      </c>
      <c r="B76" s="22"/>
      <c r="C76" s="22"/>
      <c r="D76" s="22"/>
      <c r="E76" s="23" t="n">
        <f aca="false">E22+E32+E46+E74</f>
        <v>326.1</v>
      </c>
      <c r="F76" s="22"/>
      <c r="G76" s="22"/>
      <c r="H76" s="22"/>
      <c r="I76" s="22"/>
      <c r="J76" s="22"/>
      <c r="K76" s="22"/>
      <c r="L76" s="22"/>
    </row>
    <row r="78" customFormat="false" ht="15" hidden="false" customHeight="false" outlineLevel="0" collapsed="false">
      <c r="A78" s="8" t="s">
        <v>255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28.5" hidden="false" customHeight="true" outlineLevel="0" collapsed="false">
      <c r="A79" s="9" t="s">
        <v>256</v>
      </c>
      <c r="B79" s="9" t="s">
        <v>155</v>
      </c>
      <c r="C79" s="10" t="n">
        <v>1</v>
      </c>
      <c r="D79" s="11" t="n">
        <v>3.5</v>
      </c>
      <c r="E79" s="12" t="n">
        <f aca="false">C79*D79</f>
        <v>3.5</v>
      </c>
      <c r="F79" s="16" t="s">
        <v>257</v>
      </c>
      <c r="G79" s="9" t="s">
        <v>258</v>
      </c>
      <c r="H79" s="14" t="s">
        <v>259</v>
      </c>
      <c r="I79" s="14" t="s">
        <v>22</v>
      </c>
      <c r="J79" s="15" t="s">
        <v>45</v>
      </c>
      <c r="K79" s="9" t="s">
        <v>260</v>
      </c>
      <c r="L79" s="9" t="s">
        <v>261</v>
      </c>
    </row>
    <row r="80" customFormat="false" ht="28.5" hidden="false" customHeight="true" outlineLevel="0" collapsed="false">
      <c r="A80" s="9" t="s">
        <v>262</v>
      </c>
      <c r="B80" s="9" t="s">
        <v>164</v>
      </c>
      <c r="C80" s="10" t="n">
        <v>1</v>
      </c>
      <c r="D80" s="11" t="n">
        <v>4</v>
      </c>
      <c r="E80" s="12" t="n">
        <f aca="false">C80*D80</f>
        <v>4</v>
      </c>
      <c r="F80" s="16" t="s">
        <v>263</v>
      </c>
      <c r="G80" s="9" t="s">
        <v>264</v>
      </c>
      <c r="H80" s="14" t="s">
        <v>265</v>
      </c>
      <c r="I80" s="14" t="s">
        <v>22</v>
      </c>
      <c r="J80" s="15" t="s">
        <v>45</v>
      </c>
      <c r="K80" s="9" t="s">
        <v>266</v>
      </c>
      <c r="L80" s="9" t="s">
        <v>267</v>
      </c>
    </row>
    <row r="81" customFormat="false" ht="28.5" hidden="false" customHeight="true" outlineLevel="0" collapsed="false">
      <c r="A81" s="9" t="s">
        <v>268</v>
      </c>
      <c r="B81" s="9" t="s">
        <v>19</v>
      </c>
      <c r="C81" s="10" t="n">
        <v>1</v>
      </c>
      <c r="D81" s="11" t="n">
        <v>12</v>
      </c>
      <c r="E81" s="12" t="n">
        <f aca="false">C81*D81</f>
        <v>12</v>
      </c>
      <c r="F81" s="16" t="s">
        <v>269</v>
      </c>
      <c r="G81" s="9" t="s">
        <v>270</v>
      </c>
      <c r="H81" s="14" t="s">
        <v>271</v>
      </c>
      <c r="I81" s="17"/>
      <c r="J81" s="15" t="s">
        <v>244</v>
      </c>
      <c r="K81" s="9" t="s">
        <v>272</v>
      </c>
      <c r="L81" s="9" t="s">
        <v>273</v>
      </c>
    </row>
    <row r="82" customFormat="false" ht="15.75" hidden="false" customHeight="true" outlineLevel="0" collapsed="false">
      <c r="A82" s="9" t="s">
        <v>274</v>
      </c>
      <c r="B82" s="9" t="s">
        <v>275</v>
      </c>
      <c r="C82" s="10" t="n">
        <v>1</v>
      </c>
      <c r="D82" s="11" t="n">
        <v>5</v>
      </c>
      <c r="E82" s="12" t="n">
        <f aca="false">C82*D82</f>
        <v>5</v>
      </c>
      <c r="F82" s="24" t="s">
        <v>276</v>
      </c>
      <c r="G82" s="9" t="s">
        <v>277</v>
      </c>
      <c r="H82" s="17"/>
      <c r="I82" s="17"/>
      <c r="J82" s="15"/>
      <c r="K82" s="9" t="s">
        <v>278</v>
      </c>
      <c r="L82" s="9" t="s">
        <v>279</v>
      </c>
    </row>
    <row r="83" customFormat="false" ht="15.75" hidden="false" customHeight="true" outlineLevel="0" collapsed="false">
      <c r="A83" s="9" t="s">
        <v>280</v>
      </c>
      <c r="B83" s="9" t="s">
        <v>85</v>
      </c>
      <c r="C83" s="10" t="n">
        <v>3</v>
      </c>
      <c r="D83" s="11" t="n">
        <v>2</v>
      </c>
      <c r="E83" s="12" t="n">
        <f aca="false">C83*D83</f>
        <v>6</v>
      </c>
      <c r="F83" s="24" t="s">
        <v>276</v>
      </c>
      <c r="G83" s="9" t="s">
        <v>281</v>
      </c>
      <c r="H83" s="17"/>
      <c r="I83" s="17"/>
      <c r="J83" s="15"/>
      <c r="K83" s="9" t="s">
        <v>282</v>
      </c>
      <c r="L83" s="9" t="s">
        <v>283</v>
      </c>
    </row>
    <row r="84" customFormat="false" ht="15" hidden="false" customHeight="false" outlineLevel="0" collapsed="false">
      <c r="A84" s="19" t="s">
        <v>284</v>
      </c>
      <c r="B84" s="20"/>
      <c r="C84" s="20"/>
      <c r="D84" s="20"/>
      <c r="E84" s="21" t="n">
        <f aca="false">SUM(E79:E83)</f>
        <v>30.5</v>
      </c>
      <c r="F84" s="20"/>
      <c r="G84" s="20"/>
      <c r="H84" s="20"/>
      <c r="I84" s="20"/>
      <c r="J84" s="20"/>
      <c r="K84" s="20"/>
      <c r="L84" s="20"/>
    </row>
    <row r="85" customFormat="false" ht="15" hidden="false" customHeight="false" outlineLevel="0" collapsed="false">
      <c r="A85" s="3" t="s">
        <v>285</v>
      </c>
      <c r="E85" s="6" t="n">
        <f aca="false">E76+E84</f>
        <v>356.6</v>
      </c>
    </row>
    <row r="87" customFormat="false" ht="15" hidden="false" customHeight="false" outlineLevel="0" collapsed="false">
      <c r="A87" s="8" t="s">
        <v>286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</row>
    <row r="88" customFormat="false" ht="28.5" hidden="false" customHeight="true" outlineLevel="0" collapsed="false">
      <c r="A88" s="9" t="s">
        <v>287</v>
      </c>
      <c r="B88" s="9" t="s">
        <v>19</v>
      </c>
      <c r="C88" s="10" t="n">
        <v>1</v>
      </c>
      <c r="D88" s="11" t="n">
        <v>15</v>
      </c>
      <c r="E88" s="12" t="n">
        <f aca="false">C88*D88</f>
        <v>15</v>
      </c>
      <c r="F88" s="25" t="s">
        <v>288</v>
      </c>
      <c r="G88" s="9" t="s">
        <v>21</v>
      </c>
      <c r="H88" s="14" t="s">
        <v>22</v>
      </c>
      <c r="I88" s="14" t="s">
        <v>289</v>
      </c>
      <c r="J88" s="15" t="s">
        <v>34</v>
      </c>
      <c r="K88" s="9" t="s">
        <v>290</v>
      </c>
      <c r="L88" s="9" t="s">
        <v>291</v>
      </c>
    </row>
    <row r="89" customFormat="false" ht="28.5" hidden="false" customHeight="true" outlineLevel="0" collapsed="false">
      <c r="A89" s="9" t="s">
        <v>292</v>
      </c>
      <c r="B89" s="9" t="s">
        <v>293</v>
      </c>
      <c r="C89" s="10" t="n">
        <v>2</v>
      </c>
      <c r="D89" s="11" t="n">
        <v>3</v>
      </c>
      <c r="E89" s="12" t="n">
        <f aca="false">C89*D89</f>
        <v>6</v>
      </c>
      <c r="F89" s="25" t="s">
        <v>288</v>
      </c>
      <c r="G89" s="9" t="s">
        <v>21</v>
      </c>
      <c r="H89" s="14" t="s">
        <v>22</v>
      </c>
      <c r="I89" s="14" t="s">
        <v>294</v>
      </c>
      <c r="J89" s="15" t="s">
        <v>34</v>
      </c>
      <c r="K89" s="9" t="s">
        <v>295</v>
      </c>
      <c r="L89" s="9" t="s">
        <v>296</v>
      </c>
    </row>
    <row r="90" customFormat="false" ht="28.5" hidden="false" customHeight="true" outlineLevel="0" collapsed="false">
      <c r="A90" s="9" t="s">
        <v>297</v>
      </c>
      <c r="B90" s="9" t="s">
        <v>298</v>
      </c>
      <c r="C90" s="10" t="n">
        <v>1</v>
      </c>
      <c r="D90" s="11" t="n">
        <v>5</v>
      </c>
      <c r="E90" s="12" t="n">
        <f aca="false">C90*D90</f>
        <v>5</v>
      </c>
      <c r="F90" s="25" t="s">
        <v>288</v>
      </c>
      <c r="G90" s="9" t="s">
        <v>21</v>
      </c>
      <c r="H90" s="14" t="s">
        <v>22</v>
      </c>
      <c r="I90" s="14" t="s">
        <v>299</v>
      </c>
      <c r="J90" s="15" t="s">
        <v>34</v>
      </c>
      <c r="K90" s="9" t="s">
        <v>295</v>
      </c>
      <c r="L90" s="9" t="s">
        <v>300</v>
      </c>
    </row>
    <row r="91" customFormat="false" ht="28.5" hidden="false" customHeight="true" outlineLevel="0" collapsed="false">
      <c r="A91" s="9" t="s">
        <v>301</v>
      </c>
      <c r="B91" s="9" t="s">
        <v>19</v>
      </c>
      <c r="C91" s="10" t="n">
        <v>1</v>
      </c>
      <c r="D91" s="11" t="n">
        <v>1.5</v>
      </c>
      <c r="E91" s="12" t="n">
        <f aca="false">C91*D91</f>
        <v>1.5</v>
      </c>
      <c r="F91" s="25" t="s">
        <v>288</v>
      </c>
      <c r="G91" s="9" t="s">
        <v>21</v>
      </c>
      <c r="H91" s="14" t="s">
        <v>22</v>
      </c>
      <c r="I91" s="14" t="s">
        <v>302</v>
      </c>
      <c r="J91" s="15" t="s">
        <v>34</v>
      </c>
      <c r="K91" s="9" t="s">
        <v>303</v>
      </c>
      <c r="L91" s="9" t="s">
        <v>304</v>
      </c>
    </row>
    <row r="92" customFormat="false" ht="28.5" hidden="false" customHeight="true" outlineLevel="0" collapsed="false">
      <c r="A92" s="9" t="s">
        <v>305</v>
      </c>
      <c r="B92" s="9" t="s">
        <v>155</v>
      </c>
      <c r="C92" s="10" t="n">
        <v>1</v>
      </c>
      <c r="D92" s="11" t="n">
        <v>0</v>
      </c>
      <c r="E92" s="12" t="n">
        <f aca="false">C92*D92</f>
        <v>0</v>
      </c>
      <c r="F92" s="25" t="s">
        <v>306</v>
      </c>
      <c r="G92" s="9" t="s">
        <v>307</v>
      </c>
      <c r="H92" s="14" t="s">
        <v>22</v>
      </c>
      <c r="I92" s="14" t="s">
        <v>308</v>
      </c>
      <c r="J92" s="15" t="s">
        <v>34</v>
      </c>
      <c r="K92" s="9" t="s">
        <v>309</v>
      </c>
      <c r="L92" s="9" t="s">
        <v>310</v>
      </c>
    </row>
    <row r="93" customFormat="false" ht="28.5" hidden="false" customHeight="true" outlineLevel="0" collapsed="false">
      <c r="A93" s="9" t="s">
        <v>311</v>
      </c>
      <c r="B93" s="9" t="s">
        <v>155</v>
      </c>
      <c r="C93" s="10" t="n">
        <v>1</v>
      </c>
      <c r="D93" s="11" t="n">
        <v>2</v>
      </c>
      <c r="E93" s="12" t="n">
        <f aca="false">C93*D93</f>
        <v>2</v>
      </c>
      <c r="F93" s="25" t="s">
        <v>312</v>
      </c>
      <c r="G93" s="9" t="s">
        <v>313</v>
      </c>
      <c r="H93" s="17"/>
      <c r="I93" s="17"/>
      <c r="J93" s="15"/>
      <c r="K93" s="9" t="s">
        <v>314</v>
      </c>
      <c r="L93" s="9" t="s">
        <v>315</v>
      </c>
    </row>
    <row r="94" customFormat="false" ht="15" hidden="false" customHeight="false" outlineLevel="0" collapsed="false">
      <c r="A94" s="19" t="s">
        <v>316</v>
      </c>
      <c r="B94" s="20"/>
      <c r="C94" s="20"/>
      <c r="D94" s="20"/>
      <c r="E94" s="21" t="n">
        <f aca="false">SUM(E88:E93)</f>
        <v>29.5</v>
      </c>
      <c r="F94" s="20"/>
      <c r="G94" s="20"/>
      <c r="H94" s="20"/>
      <c r="I94" s="20"/>
      <c r="J94" s="20"/>
      <c r="K94" s="20"/>
      <c r="L94" s="20"/>
    </row>
    <row r="95" customFormat="false" ht="15" hidden="false" customHeight="false" outlineLevel="0" collapsed="false">
      <c r="A95" s="3" t="s">
        <v>317</v>
      </c>
      <c r="E95" s="6" t="n">
        <f aca="false">E76+E94</f>
        <v>355.6</v>
      </c>
    </row>
    <row r="97" customFormat="false" ht="15" hidden="false" customHeight="false" outlineLevel="0" collapsed="false">
      <c r="A97" s="8" t="s">
        <v>318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</row>
    <row r="98" customFormat="false" ht="28.5" hidden="false" customHeight="true" outlineLevel="0" collapsed="false">
      <c r="A98" s="9" t="s">
        <v>319</v>
      </c>
      <c r="B98" s="9" t="s">
        <v>275</v>
      </c>
      <c r="C98" s="10" t="n">
        <v>1</v>
      </c>
      <c r="D98" s="11" t="n">
        <v>23</v>
      </c>
      <c r="E98" s="12" t="n">
        <f aca="false">C98*D98</f>
        <v>23</v>
      </c>
      <c r="F98" s="26" t="s">
        <v>320</v>
      </c>
      <c r="G98" s="9" t="s">
        <v>275</v>
      </c>
      <c r="H98" s="17"/>
      <c r="I98" s="17"/>
      <c r="J98" s="15"/>
      <c r="K98" s="9" t="s">
        <v>321</v>
      </c>
      <c r="L98" s="9" t="s">
        <v>322</v>
      </c>
    </row>
    <row r="99" customFormat="false" ht="28.5" hidden="false" customHeight="true" outlineLevel="0" collapsed="false">
      <c r="A99" s="9" t="s">
        <v>323</v>
      </c>
      <c r="B99" s="9" t="s">
        <v>275</v>
      </c>
      <c r="C99" s="10" t="n">
        <v>1</v>
      </c>
      <c r="D99" s="11" t="n">
        <v>20</v>
      </c>
      <c r="E99" s="12" t="n">
        <f aca="false">C99*D99</f>
        <v>20</v>
      </c>
      <c r="F99" s="26" t="s">
        <v>320</v>
      </c>
      <c r="G99" s="9" t="s">
        <v>275</v>
      </c>
      <c r="H99" s="17"/>
      <c r="I99" s="17"/>
      <c r="J99" s="15"/>
      <c r="K99" s="9" t="s">
        <v>324</v>
      </c>
      <c r="L99" s="9" t="s">
        <v>325</v>
      </c>
    </row>
    <row r="100" customFormat="false" ht="28.5" hidden="false" customHeight="true" outlineLevel="0" collapsed="false">
      <c r="A100" s="9" t="s">
        <v>326</v>
      </c>
      <c r="B100" s="9" t="s">
        <v>275</v>
      </c>
      <c r="C100" s="10" t="n">
        <v>1</v>
      </c>
      <c r="D100" s="11" t="n">
        <v>7</v>
      </c>
      <c r="E100" s="12" t="n">
        <f aca="false">C100*D100</f>
        <v>7</v>
      </c>
      <c r="F100" s="26" t="s">
        <v>320</v>
      </c>
      <c r="G100" s="9" t="s">
        <v>275</v>
      </c>
      <c r="H100" s="17"/>
      <c r="I100" s="17"/>
      <c r="J100" s="15"/>
      <c r="K100" s="9" t="s">
        <v>327</v>
      </c>
      <c r="L100" s="9" t="s">
        <v>328</v>
      </c>
    </row>
    <row r="101" customFormat="false" ht="41.25" hidden="false" customHeight="true" outlineLevel="0" collapsed="false">
      <c r="A101" s="9" t="s">
        <v>329</v>
      </c>
      <c r="B101" s="9" t="s">
        <v>275</v>
      </c>
      <c r="C101" s="10" t="n">
        <v>1</v>
      </c>
      <c r="D101" s="11" t="n">
        <v>38</v>
      </c>
      <c r="E101" s="12" t="n">
        <f aca="false">C101*D101</f>
        <v>38</v>
      </c>
      <c r="F101" s="26" t="s">
        <v>320</v>
      </c>
      <c r="G101" s="9" t="s">
        <v>330</v>
      </c>
      <c r="H101" s="14" t="s">
        <v>331</v>
      </c>
      <c r="I101" s="17"/>
      <c r="J101" s="15" t="s">
        <v>332</v>
      </c>
      <c r="K101" s="9" t="s">
        <v>333</v>
      </c>
      <c r="L101" s="9" t="s">
        <v>334</v>
      </c>
    </row>
    <row r="102" customFormat="false" ht="54" hidden="false" customHeight="true" outlineLevel="0" collapsed="false">
      <c r="A102" s="9" t="s">
        <v>335</v>
      </c>
      <c r="B102" s="9" t="s">
        <v>275</v>
      </c>
      <c r="C102" s="10" t="n">
        <v>1</v>
      </c>
      <c r="D102" s="11" t="n">
        <v>14</v>
      </c>
      <c r="E102" s="12" t="n">
        <f aca="false">C102*D102</f>
        <v>14</v>
      </c>
      <c r="F102" s="26" t="s">
        <v>320</v>
      </c>
      <c r="G102" s="9" t="s">
        <v>21</v>
      </c>
      <c r="H102" s="14" t="s">
        <v>336</v>
      </c>
      <c r="I102" s="17"/>
      <c r="J102" s="15" t="s">
        <v>45</v>
      </c>
      <c r="K102" s="9" t="s">
        <v>337</v>
      </c>
      <c r="L102" s="9" t="s">
        <v>338</v>
      </c>
    </row>
    <row r="103" customFormat="false" ht="41.25" hidden="false" customHeight="true" outlineLevel="0" collapsed="false">
      <c r="A103" s="9" t="s">
        <v>339</v>
      </c>
      <c r="B103" s="9" t="s">
        <v>275</v>
      </c>
      <c r="C103" s="10" t="n">
        <v>1</v>
      </c>
      <c r="D103" s="11" t="n">
        <v>25</v>
      </c>
      <c r="E103" s="12" t="n">
        <f aca="false">C103*D103</f>
        <v>25</v>
      </c>
      <c r="F103" s="26" t="s">
        <v>320</v>
      </c>
      <c r="G103" s="9" t="s">
        <v>275</v>
      </c>
      <c r="H103" s="17"/>
      <c r="I103" s="17"/>
      <c r="J103" s="15"/>
      <c r="K103" s="9" t="s">
        <v>340</v>
      </c>
      <c r="L103" s="9" t="s">
        <v>341</v>
      </c>
    </row>
    <row r="104" customFormat="false" ht="28.5" hidden="false" customHeight="true" outlineLevel="0" collapsed="false">
      <c r="A104" s="9" t="s">
        <v>342</v>
      </c>
      <c r="B104" s="9" t="s">
        <v>275</v>
      </c>
      <c r="C104" s="10" t="n">
        <v>1</v>
      </c>
      <c r="D104" s="11" t="n">
        <v>5</v>
      </c>
      <c r="E104" s="12" t="n">
        <f aca="false">C104*D104</f>
        <v>5</v>
      </c>
      <c r="F104" s="26" t="s">
        <v>320</v>
      </c>
      <c r="G104" s="9" t="s">
        <v>275</v>
      </c>
      <c r="H104" s="17"/>
      <c r="I104" s="17"/>
      <c r="J104" s="15"/>
      <c r="K104" s="9" t="s">
        <v>343</v>
      </c>
      <c r="L104" s="9" t="s">
        <v>344</v>
      </c>
    </row>
    <row r="105" customFormat="false" ht="15" hidden="false" customHeight="false" outlineLevel="0" collapsed="false">
      <c r="A105" s="19" t="s">
        <v>345</v>
      </c>
      <c r="B105" s="20"/>
      <c r="C105" s="20"/>
      <c r="D105" s="20"/>
      <c r="E105" s="21" t="n">
        <f aca="false">SUM(E98:E104)</f>
        <v>132</v>
      </c>
      <c r="F105" s="20"/>
      <c r="G105" s="20"/>
      <c r="H105" s="20"/>
      <c r="I105" s="20"/>
      <c r="J105" s="20"/>
      <c r="K105" s="20"/>
      <c r="L105" s="20"/>
    </row>
    <row r="106" customFormat="false" ht="15" hidden="false" customHeight="false" outlineLevel="0" collapsed="false">
      <c r="A106" s="3" t="s">
        <v>346</v>
      </c>
      <c r="E106" s="6" t="n">
        <f aca="false">E76-E105</f>
        <v>194.1</v>
      </c>
    </row>
    <row r="108" customFormat="false" ht="15" hidden="false" customHeight="false" outlineLevel="0" collapsed="false">
      <c r="A108" s="8" t="s">
        <v>347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</row>
    <row r="109" customFormat="false" ht="15" hidden="false" customHeight="true" outlineLevel="0" collapsed="false">
      <c r="A109" s="27" t="s">
        <v>348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</row>
    <row r="110" customFormat="false" ht="15" hidden="false" customHeight="true" outlineLevel="0" collapsed="false">
      <c r="A110" s="27" t="s">
        <v>349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</row>
    <row r="111" customFormat="false" ht="15" hidden="false" customHeight="true" outlineLevel="0" collapsed="false">
      <c r="A111" s="27" t="s">
        <v>350</v>
      </c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</row>
    <row r="113" customFormat="false" ht="15" hidden="false" customHeight="false" outlineLevel="0" collapsed="false">
      <c r="A113" s="8" t="s">
        <v>351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customFormat="false" ht="15" hidden="false" customHeight="true" outlineLevel="0" collapsed="false">
      <c r="A114" s="28" t="s">
        <v>352</v>
      </c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</row>
    <row r="115" customFormat="false" ht="15" hidden="false" customHeight="true" outlineLevel="0" collapsed="false">
      <c r="A115" s="28" t="s">
        <v>353</v>
      </c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</row>
    <row r="116" customFormat="false" ht="15" hidden="false" customHeight="true" outlineLevel="0" collapsed="false">
      <c r="A116" s="28" t="s">
        <v>354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</row>
    <row r="117" customFormat="false" ht="15" hidden="false" customHeight="true" outlineLevel="0" collapsed="false">
      <c r="A117" s="28" t="s">
        <v>355</v>
      </c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</row>
    <row r="118" customFormat="false" ht="15" hidden="false" customHeight="true" outlineLevel="0" collapsed="false">
      <c r="A118" s="28" t="s">
        <v>356</v>
      </c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</row>
    <row r="119" customFormat="false" ht="15" hidden="false" customHeight="true" outlineLevel="0" collapsed="false">
      <c r="A119" s="28" t="s">
        <v>357</v>
      </c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</row>
  </sheetData>
  <mergeCells count="9">
    <mergeCell ref="A109:L109"/>
    <mergeCell ref="A110:L110"/>
    <mergeCell ref="A111:L111"/>
    <mergeCell ref="A114:L114"/>
    <mergeCell ref="A115:L115"/>
    <mergeCell ref="A116:L116"/>
    <mergeCell ref="A117:L117"/>
    <mergeCell ref="A118:L118"/>
    <mergeCell ref="A119:L119"/>
  </mergeCells>
  <conditionalFormatting sqref="F3">
    <cfRule type="expression" priority="2" aboveAverage="0" equalAverage="0" bottom="0" percent="0" rank="0" text="" dxfId="0">
      <formula>$E$3&lt;=$B$3</formula>
    </cfRule>
    <cfRule type="expression" priority="3" aboveAverage="0" equalAverage="0" bottom="0" percent="0" rank="0" text="" dxfId="1">
      <formula>$E$3&gt;$B$3</formula>
    </cfRule>
  </conditionalFormatting>
  <conditionalFormatting sqref="F4">
    <cfRule type="expression" priority="4" aboveAverage="0" equalAverage="0" bottom="0" percent="0" rank="0" text="" dxfId="0">
      <formula>$E$4&lt;=$B$3</formula>
    </cfRule>
    <cfRule type="expression" priority="5" aboveAverage="0" equalAverage="0" bottom="0" percent="0" rank="0" text="" dxfId="1">
      <formula>$E$4&gt;$B$3</formula>
    </cfRule>
  </conditionalFormatting>
  <hyperlinks>
    <hyperlink ref="H8" r:id="rId1" display="AliExpress – DAZ's link"/>
    <hyperlink ref="I8" r:id="rId2" display="AliExpress search: MKS XDrive Mini"/>
    <hyperlink ref="H10" r:id="rId3" display="AliExpress – DAZ's link"/>
    <hyperlink ref="I10" r:id="rId4" display="AliExpress search: E6B2-CWZ6C"/>
    <hyperlink ref="H11" r:id="rId5" display="AliExpress – DAZ's link"/>
    <hyperlink ref="I11" r:id="rId6" display="AliExpress search: 13&quot; flat wheel"/>
    <hyperlink ref="H12" r:id="rId7" display="AliExpress search: GT2 20T 6 mm bore"/>
    <hyperlink ref="I12" r:id="rId8" display="AliExpress – DAZ's link"/>
    <hyperlink ref="H13" r:id="rId9" display="AliExpress search: GT2 belt 212 mm"/>
    <hyperlink ref="I13" r:id="rId10" display="AliExpress – DAZ's link"/>
    <hyperlink ref="H14" r:id="rId11" display="AliExpress search: GT2 idler 20T 5 mm"/>
    <hyperlink ref="I14" r:id="rId12" display="AliExpress – DAZ's link"/>
    <hyperlink ref="H15" r:id="rId13" display="AliExpress search: 24V 10A power supply"/>
    <hyperlink ref="I15" r:id="rId14" display="AliExpress – DAZ's link"/>
    <hyperlink ref="H16" r:id="rId15" display="AliExpress search: XT60 pair"/>
    <hyperlink ref="I16" r:id="rId16" display="AliExpress – DAZ's link"/>
    <hyperlink ref="H17" r:id="rId17" display="AliExpress – DAZ's link"/>
    <hyperlink ref="I17" r:id="rId18" display="AliExpress search: 16 mm cross clamp"/>
    <hyperlink ref="H18" r:id="rId19" display="AliExpress – DAZ's link"/>
    <hyperlink ref="I18" r:id="rId20" display="AliExpress search: 16 mm aluminium tube"/>
    <hyperlink ref="H19" r:id="rId21" display="AliExpress – DAZ's link"/>
    <hyperlink ref="I19" r:id="rId22" display="AliExpress search: Arca-Swiss clamp"/>
    <hyperlink ref="H20" r:id="rId23" display="AliExpress – DAZ's link"/>
    <hyperlink ref="I20" r:id="rId24" display="AliExpress search: Arca plate 100 mm"/>
    <hyperlink ref="H21" r:id="rId25" display="AliExpress search: 2.2k resistors"/>
    <hyperlink ref="I21" r:id="rId26" display="AliExpress search: resistor kit"/>
    <hyperlink ref="H25" r:id="rId27" display="AliExpress search: Pro Micro USB-C"/>
    <hyperlink ref="I25" r:id="rId28" display="AliExpress – DAZ's link"/>
    <hyperlink ref="H26" r:id="rId29" display="AliExpress search: MGN12H 100 mm"/>
    <hyperlink ref="I26" r:id="rId30" display="AliExpress – DAZ's link"/>
    <hyperlink ref="H27" r:id="rId31" display="AliExpress – DAZ's link"/>
    <hyperlink ref="I27" r:id="rId32" display="AliExpress search: M8 female rod end"/>
    <hyperlink ref="H28" r:id="rId33" display="AliExpress – DAZ's link"/>
    <hyperlink ref="I28" r:id="rId34" display="AliExpress search: M8 male rod end"/>
    <hyperlink ref="H29" r:id="rId35" display="AliExpress search: spring 1.2 × 9 × 30 mm"/>
    <hyperlink ref="I29" r:id="rId36" display="AliExpress – DAZ's link"/>
    <hyperlink ref="H30" r:id="rId37" display="AliExpress search: KW11-3Z roller 10 pcs"/>
    <hyperlink ref="I30" r:id="rId38" display="AliExpress – DAZ's link"/>
    <hyperlink ref="H31" r:id="rId39" display="AliExpress search: MR126ZZ"/>
    <hyperlink ref="I31" r:id="rId40" display="AliExpress – DAZ's link"/>
    <hyperlink ref="H35" r:id="rId41" display="AliExpress – DAZ's link"/>
    <hyperlink ref="I35" r:id="rId42" display="AliExpress search: 150 kg load cell"/>
    <hyperlink ref="H36" r:id="rId43" display="AliExpress search: Leonardo R3"/>
    <hyperlink ref="I36" r:id="rId44" display="AliExpress – DAZ's link"/>
    <hyperlink ref="H37" r:id="rId45" display="AliExpress search: HX711"/>
    <hyperlink ref="I37" r:id="rId46" display="AliExpress – DAZ's link"/>
    <hyperlink ref="H38" r:id="rId47" display="AliExpress search: 8 mm steel rod"/>
    <hyperlink ref="I38" r:id="rId48" display="AliExpress – DAZ's link"/>
    <hyperlink ref="H39" r:id="rId49" display="AliExpress search: SK8 support"/>
    <hyperlink ref="I39" r:id="rId50" display="AliExpress – DAZ's link"/>
    <hyperlink ref="H40" r:id="rId51" display="AliExpress search: KY-035 hall sensor"/>
    <hyperlink ref="I40" r:id="rId52" display="AliExpress – DAZ's link"/>
    <hyperlink ref="H41" r:id="rId53" display="AliExpress – DAZ's link"/>
    <hyperlink ref="I41" r:id="rId54" display="AliExpress search: brake pedal spring"/>
    <hyperlink ref="H42" r:id="rId55" display="AliExpress – DAZ's link"/>
    <hyperlink ref="I42" r:id="rId56" display="AliExpress search: skateboard bushings 85A"/>
    <hyperlink ref="H43" r:id="rId57" display="AliExpress search: 20×10×3 magnets"/>
    <hyperlink ref="I43" r:id="rId58" display="AliExpress – DAZ's link"/>
    <hyperlink ref="H44" r:id="rId59" display="AliExpress – DAZ's link"/>
    <hyperlink ref="I44" r:id="rId60" display="AliExpress search: 1.5 mm wire rope clip"/>
    <hyperlink ref="H45" r:id="rId61" display="AliExpress – DAZ's link"/>
    <hyperlink ref="I45" r:id="rId62" display="AliExpress search: hand-gripper spring"/>
    <hyperlink ref="H49" r:id="rId63" display="AliExpress search: M3x10 socket head"/>
    <hyperlink ref="I49" r:id="rId64" display="AliExpress – DAZ's link"/>
    <hyperlink ref="H50" r:id="rId65" display="AliExpress search: M4x16 socket head"/>
    <hyperlink ref="I50" r:id="rId66" display="AliExpress – DAZ's link"/>
    <hyperlink ref="H51" r:id="rId67" display="AliExpress search: M4x20 socket head"/>
    <hyperlink ref="I51" r:id="rId68" display="AliExpress – DAZ's link"/>
    <hyperlink ref="H52" r:id="rId69" display="AliExpress search: M5x12 socket head"/>
    <hyperlink ref="I52" r:id="rId70" display="AliExpress – DAZ's link"/>
    <hyperlink ref="H53" r:id="rId71" display="AliExpress search: M5x20 socket head"/>
    <hyperlink ref="I53" r:id="rId72" display="AliExpress – DAZ's link"/>
    <hyperlink ref="H54" r:id="rId73" display="AliExpress search: M5x25 socket head"/>
    <hyperlink ref="I54" r:id="rId74" display="AliExpress – DAZ's link"/>
    <hyperlink ref="H55" r:id="rId75" display="AliExpress search: M5x30 socket head"/>
    <hyperlink ref="I55" r:id="rId76" display="AliExpress – DAZ's link"/>
    <hyperlink ref="H56" r:id="rId77" display="AliExpress search: M5x40 socket head"/>
    <hyperlink ref="I56" r:id="rId78" display="AliExpress – DAZ's link"/>
    <hyperlink ref="H57" r:id="rId79" display="AliExpress search: M3x8 countersunk"/>
    <hyperlink ref="I57" r:id="rId80" display="AliExpress – DAZ's link"/>
    <hyperlink ref="H58" r:id="rId81" display="AliExpress search: M6x30 countersunk"/>
    <hyperlink ref="I58" r:id="rId82" display="AliExpress – DAZ's link"/>
    <hyperlink ref="H59" r:id="rId83" display="AliExpress search: M6x45 countersunk"/>
    <hyperlink ref="I59" r:id="rId84" display="AliExpress – DAZ's link"/>
    <hyperlink ref="H60" r:id="rId85" display="AliExpress search: M8x20 countersunk"/>
    <hyperlink ref="I60" r:id="rId86" display="AliExpress – DAZ's link"/>
    <hyperlink ref="H61" r:id="rId87" display="AliExpress search: M6x20 button head"/>
    <hyperlink ref="I61" r:id="rId88" display="AliExpress – DAZ's link"/>
    <hyperlink ref="H62" r:id="rId89" display="AliExpress search: M6x35 button head"/>
    <hyperlink ref="I62" r:id="rId90" display="AliExpress – DAZ's link"/>
    <hyperlink ref="H63" r:id="rId91" display="AliExpress search: M8x25 button head"/>
    <hyperlink ref="I63" r:id="rId92" display="AliExpress – DAZ's link"/>
    <hyperlink ref="H64" r:id="rId93" display="AliExpress search: M8x50 hex bolt"/>
    <hyperlink ref="I64" r:id="rId94" display="AliExpress – DAZ's link"/>
    <hyperlink ref="H65" r:id="rId95" display="AliExpress search: M4 nut"/>
    <hyperlink ref="I65" r:id="rId96" display="AliExpress – DAZ's link"/>
    <hyperlink ref="H66" r:id="rId97" display="AliExpress search: M5 nut"/>
    <hyperlink ref="I66" r:id="rId98" display="AliExpress – DAZ's link"/>
    <hyperlink ref="H67" r:id="rId99" display="AliExpress search: M6 nut"/>
    <hyperlink ref="I67" r:id="rId100" display="AliExpress – DAZ's link"/>
    <hyperlink ref="H68" r:id="rId101" display="AliExpress search: M8 nut"/>
    <hyperlink ref="I68" r:id="rId102" display="AliExpress – DAZ's link"/>
    <hyperlink ref="H69" r:id="rId103" display="AliExpress search: M5 washer"/>
    <hyperlink ref="H70" r:id="rId104" display="AliExpress search: M8 washer"/>
    <hyperlink ref="H71" r:id="rId105" display="AliExpress search: self-tapping screws"/>
    <hyperlink ref="I71" r:id="rId106" display="AliExpress – DAZ's link"/>
    <hyperlink ref="H72" r:id="rId107" display="Bunnings search: 3 mm nails"/>
    <hyperlink ref="H73" r:id="rId108" display="AliExpress – DAZ's link"/>
    <hyperlink ref="I73" r:id="rId109" display="Bunnings search: M8 threaded rod"/>
    <hyperlink ref="H79" r:id="rId110" display="AliExpress search: 608ZZ"/>
    <hyperlink ref="I79" r:id="rId111" display="AliExpress – DAZ's link"/>
    <hyperlink ref="H80" r:id="rId112" display="AliExpress search: MTB brake cable"/>
    <hyperlink ref="I80" r:id="rId113" display="AliExpress – DAZ's link"/>
    <hyperlink ref="H81" r:id="rId114" display="Bunnings search: plywood"/>
    <hyperlink ref="H88" r:id="rId115" display="AliExpress – DAZ's link"/>
    <hyperlink ref="I88" r:id="rId116" display="AliExpress search: wireless zero-delay encoder"/>
    <hyperlink ref="H89" r:id="rId117" display="AliExpress – DAZ's link"/>
    <hyperlink ref="I89" r:id="rId118" display="AliExpress search: 16 mm push button"/>
    <hyperlink ref="H90" r:id="rId119" display="AliExpress – DAZ's link"/>
    <hyperlink ref="I90" r:id="rId120" display="AliExpress search: 30×10×4 magnets"/>
    <hyperlink ref="H91" r:id="rId121" display="AliExpress – DAZ's link"/>
    <hyperlink ref="I91" r:id="rId122" display="AliExpress search: 2 × AA holder"/>
    <hyperlink ref="H92" r:id="rId123" display="AliExpress – DAZ's link"/>
    <hyperlink ref="I92" r:id="rId124" display="AliExpress search: KW11-3Z roller switch"/>
    <hyperlink ref="H101" r:id="rId125" display="Printables search: steering wheel 70 mm"/>
    <hyperlink ref="H102" r:id="rId126" display="AliExpress search: MT6701 encod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2026-10-03T07:29:22Z</dcterms:created>
  <dc:creator>openpyxl</dc:creator>
  <dc:description/>
  <dc:language>en-US</dc:language>
  <cp:lastModifiedBy/>
  <dcterms:modified xsi:type="dcterms:W3CDTF">2026-10-03T07:29:22Z</dcterms:modified>
  <cp:revision>0</cp:revision>
  <dc:subject>Parts list in AUD</dc:subject>
  <dc:title>DAZ wheel + shifter + pedals – best-value parts list for all three (AUD)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