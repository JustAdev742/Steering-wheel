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heel cart" sheetId="1" state="visible" r:id="rId3"/>
  </sheets>
  <definedNames>
    <definedName function="false" hidden="false" localSheetId="0" name="_xlnm.Print_Titles" vbProcedure="false">'Wheel cart'!$6:$6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<sst xmlns="http://schemas.openxmlformats.org/spreadsheetml/2006/main" count="184" uniqueCount="137">
  <si>
    <t xml:space="preserve">DAZ V2 steering wheel – AliExpress cart list (AUD)</t>
  </si>
  <si>
    <t xml:space="preserve">Add each line to your cart and pick the option shown. Then type what your cart charges for that line into the yellow column – the 'Over target by' column shows which lines are pushing your total up. Prices are estimates in AUD incl. 10% GST, checked 3 Oct 2026.</t>
  </si>
  <si>
    <t xml:space="preserve">Target total</t>
  </si>
  <si>
    <t xml:space="preserve">Your cart total (fill in the yellow cells)</t>
  </si>
  <si>
    <t xml:space="preserve">('Over target by' only counts the lines you've filled in)</t>
  </si>
  <si>
    <t xml:space="preserve">✓</t>
  </si>
  <si>
    <t xml:space="preserve">#</t>
  </si>
  <si>
    <t xml:space="preserve">Add to cart</t>
  </si>
  <si>
    <t xml:space="preserve">Pick this option</t>
  </si>
  <si>
    <t xml:space="preserve">Qty</t>
  </si>
  <si>
    <t xml:space="preserve">Target each (AUD)</t>
  </si>
  <si>
    <t xml:space="preserve">Target total (AUD)</t>
  </si>
  <si>
    <t xml:space="preserve">Your cart price (AUD)</t>
  </si>
  <si>
    <t xml:space="preserve">Over target by</t>
  </si>
  <si>
    <t xml:space="preserve">Link</t>
  </si>
  <si>
    <t xml:space="preserve">Alternative link</t>
  </si>
  <si>
    <t xml:space="preserve">Listing check</t>
  </si>
  <si>
    <t xml:space="preserve">Watch out</t>
  </si>
  <si>
    <t xml:space="preserve">1. PARTS – add these to your AliExpress cart</t>
  </si>
  <si>
    <t xml:space="preserve">MKS XDrive Mini motor controller</t>
  </si>
  <si>
    <t xml:space="preserve">XDrive MINI – the basic board (make sure the brake resistor is included)</t>
  </si>
  <si>
    <t xml:space="preserve">DAZ's listing</t>
  </si>
  <si>
    <t xml:space="preserve">Makerbase listing</t>
  </si>
  <si>
    <t xml:space="preserve">Live (3 Oct 2026)</t>
  </si>
  <si>
    <t xml:space="preserve">No cheaper substitute. Expect about $45–55. If your cart shows $60+, wait for the 11.11 sale (11 Nov) or use AliExpress coupons.</t>
  </si>
  <si>
    <t xml:space="preserve">Encoder E6B2-CWZ6C</t>
  </si>
  <si>
    <t xml:space="preserve">2000 P/R on DAZ's listing – or 1024 P/R on the alternative, whichever is cheaper</t>
  </si>
  <si>
    <t xml:space="preserve">DAZ's Europe listing (has 1024 P/R)</t>
  </si>
  <si>
    <t xml:space="preserve">Anything from 1000 P/R up is fine.</t>
  </si>
  <si>
    <t xml:space="preserve">Steering wheel rim, 13" flat (DAZ's wheel)</t>
  </si>
  <si>
    <t xml:space="preserve">PVC – NOT suede. Any colour.</t>
  </si>
  <si>
    <t xml:space="preserve">Search: 13" flat wheel</t>
  </si>
  <si>
    <t xml:space="preserve">Suede costs about $30 more. This is the exact wheel DAZ designed around.</t>
  </si>
  <si>
    <t xml:space="preserve">GT2 pulley, 20 teeth</t>
  </si>
  <si>
    <t xml:space="preserve">20T · bore 6 mm · width 6 mm</t>
  </si>
  <si>
    <t xml:space="preserve">GKTOOLS listing</t>
  </si>
  <si>
    <t xml:space="preserve">Goes on the encoder.</t>
  </si>
  <si>
    <t xml:space="preserve">GT2 belt, closed loop</t>
  </si>
  <si>
    <t xml:space="preserve">212 mm length · 6 mm width</t>
  </si>
  <si>
    <t xml:space="preserve">Other belt listing</t>
  </si>
  <si>
    <t xml:space="preserve">Must be a closed loop, exactly 212 mm.</t>
  </si>
  <si>
    <t xml:space="preserve">GT2 idler pulley</t>
  </si>
  <si>
    <t xml:space="preserve">20T toothed · bore 5 mm · width 6 mm</t>
  </si>
  <si>
    <t xml:space="preserve">Search: GT2 idler 20T 5 mm</t>
  </si>
  <si>
    <t xml:space="preserve">Power supply 24 V 10 A</t>
  </si>
  <si>
    <t xml:space="preserve">24V 10A · AU plug</t>
  </si>
  <si>
    <t xml:space="preserve">24 V adapter listing</t>
  </si>
  <si>
    <t xml:space="preserve">Search: 24V 10A AU plug</t>
  </si>
  <si>
    <t xml:space="preserve">Enclosed adapter with an AU plug – no 240 V wiring. Don't pick a lower amp rating.</t>
  </si>
  <si>
    <t xml:space="preserve">XT60 plugs (male + female)</t>
  </si>
  <si>
    <t xml:space="preserve">10 pcs = 5 pairs (smallest pack on this listing; you need 1 pair)</t>
  </si>
  <si>
    <t xml:space="preserve">XT60H listing</t>
  </si>
  <si>
    <t xml:space="preserve">Search: XT60 pair</t>
  </si>
  <si>
    <t xml:space="preserve">Don't buy bigger packs. Or get one pair from Jaycar (PT4458, ≈ $5) and skip this line.</t>
  </si>
  <si>
    <t xml:space="preserve">Motor axle clamp</t>
  </si>
  <si>
    <t xml:space="preserve">16 mm – 16 mm</t>
  </si>
  <si>
    <t xml:space="preserve">Search: 16 mm cross clamp</t>
  </si>
  <si>
    <t xml:space="preserve">Holds DAZ's V2 mount together.</t>
  </si>
  <si>
    <t xml:space="preserve">Aluminium tube</t>
  </si>
  <si>
    <t xml:space="preserve">Outside diameter 16 mm · shortest length (250 mm is plenty)</t>
  </si>
  <si>
    <t xml:space="preserve">Bunnings 16 mm × 1 m (local)</t>
  </si>
  <si>
    <t xml:space="preserve">You cut 100 mm off it.</t>
  </si>
  <si>
    <t xml:space="preserve">Arca-Swiss quick-release clamp</t>
  </si>
  <si>
    <t xml:space="preserve">The clamp – any colour</t>
  </si>
  <si>
    <t xml:space="preserve">Clamp listing</t>
  </si>
  <si>
    <t xml:space="preserve">DAZ's 'option 2' listing</t>
  </si>
  <si>
    <t xml:space="preserve">NOT DAZ's first pick (the FANAUE lever clamp, ≈ $40+). Any Arca-Swiss clamp grips the plate below.</t>
  </si>
  <si>
    <t xml:space="preserve">Arca-Swiss plate, 100 mm</t>
  </si>
  <si>
    <t xml:space="preserve">100 mm length</t>
  </si>
  <si>
    <t xml:space="preserve">Plate listing</t>
  </si>
  <si>
    <t xml:space="preserve">2.2 kΩ resistors (encoder pull-ups)</t>
  </si>
  <si>
    <t xml:space="preserve">2.2K ohm · 100 pcs (you need 3)</t>
  </si>
  <si>
    <t xml:space="preserve">Resistor listing</t>
  </si>
  <si>
    <t xml:space="preserve">Search: 2.2k resistors</t>
  </si>
  <si>
    <t xml:space="preserve">Not on DAZ's list – the encoder needs them (FFBeast's docs).</t>
  </si>
  <si>
    <t xml:space="preserve">2. SCREWS &amp; NUTS – one listing per type; add each size as its own cart line</t>
  </si>
  <si>
    <t xml:space="preserve">Socket head screws</t>
  </si>
  <si>
    <t xml:space="preserve">M5 × 20 · smallest quantity</t>
  </si>
  <si>
    <t xml:space="preserve">Search: M5x20</t>
  </si>
  <si>
    <t xml:space="preserve">M5 × 25 · smallest quantity</t>
  </si>
  <si>
    <t xml:space="preserve">Search: M5x25</t>
  </si>
  <si>
    <t xml:space="preserve">M5 × 40 · smallest quantity</t>
  </si>
  <si>
    <t xml:space="preserve">Search: M5x40</t>
  </si>
  <si>
    <t xml:space="preserve">M3 × 10 · smallest quantity</t>
  </si>
  <si>
    <t xml:space="preserve">Search: M3x10</t>
  </si>
  <si>
    <t xml:space="preserve">Countersunk screws</t>
  </si>
  <si>
    <t xml:space="preserve">M6 × 30 · smallest quantity</t>
  </si>
  <si>
    <t xml:space="preserve">Search: M6x30</t>
  </si>
  <si>
    <t xml:space="preserve">M6 × 45 · smallest quantity</t>
  </si>
  <si>
    <t xml:space="preserve">Search: M6x45</t>
  </si>
  <si>
    <t xml:space="preserve">Self-tapping screws</t>
  </si>
  <si>
    <t xml:space="preserve">ST2.9 (≈ M3) × 13 mm · smallest quantity (DAZ: M3 × 12)</t>
  </si>
  <si>
    <t xml:space="preserve">Search: M3x12</t>
  </si>
  <si>
    <t xml:space="preserve">Self-tappers are sold in ST sizes; the nearest length is fine.</t>
  </si>
  <si>
    <t xml:space="preserve">ST2.2 (≈ M2.5) × 6.5 mm · smallest quantity (DAZ: M2.5 × 6)</t>
  </si>
  <si>
    <t xml:space="preserve">Search: M2.5x6</t>
  </si>
  <si>
    <t xml:space="preserve">Hex nuts</t>
  </si>
  <si>
    <t xml:space="preserve">M5 · smallest quantity</t>
  </si>
  <si>
    <t xml:space="preserve">Search: M5 nut</t>
  </si>
  <si>
    <t xml:space="preserve">M6 · smallest quantity</t>
  </si>
  <si>
    <t xml:space="preserve">Search: M6 nut</t>
  </si>
  <si>
    <t xml:space="preserve">3. FROM A HARDWARE STORE (or the washer kit if you're buying for all three builds)</t>
  </si>
  <si>
    <t xml:space="preserve">M5 washers</t>
  </si>
  <si>
    <t xml:space="preserve">2 needed</t>
  </si>
  <si>
    <t xml:space="preserve">Bunnings: M5 washers</t>
  </si>
  <si>
    <t xml:space="preserve">Washer kit (all three builds)</t>
  </si>
  <si>
    <t xml:space="preserve">Bunnings</t>
  </si>
  <si>
    <t xml:space="preserve">Any hardware store. The kit covers all three builds.</t>
  </si>
  <si>
    <t xml:space="preserve">3 mm nails</t>
  </si>
  <si>
    <t xml:space="preserve">9 needed (used as pins)</t>
  </si>
  <si>
    <t xml:space="preserve">Bunnings: 3 mm nails</t>
  </si>
  <si>
    <t xml:space="preserve">Shipping charged in your cart (all sellers added up)</t>
  </si>
  <si>
    <t xml:space="preserve">Choose free-shipping / Choice listings where you can</t>
  </si>
  <si>
    <t xml:space="preserve">Each non-Choice seller can add $2–10. If one item's shipping is more than about $3, try its alternative link.</t>
  </si>
  <si>
    <t xml:space="preserve">TOTAL</t>
  </si>
  <si>
    <t xml:space="preserve">DON'T ADD THESE – they're what pushes a wheel cart towards $300</t>
  </si>
  <si>
    <t xml:space="preserve">DAZ's first-pick quick release (FANAUE lever clamp)</t>
  </si>
  <si>
    <t xml:space="preserve">≈ $40–55</t>
  </si>
  <si>
    <t xml:space="preserve">The cheap clamp above does the same job.</t>
  </si>
  <si>
    <t xml:space="preserve">The suede version of the rim</t>
  </si>
  <si>
    <t xml:space="preserve">≈ $30 more</t>
  </si>
  <si>
    <t xml:space="preserve">Pick PVC.</t>
  </si>
  <si>
    <t xml:space="preserve">Wheel buttons &amp; paddles (wireless board, buttons, magnets, battery holder)</t>
  </si>
  <si>
    <t xml:space="preserve">≈ $25–35</t>
  </si>
  <si>
    <t xml:space="preserve">Optional – the H-shifter covers gear changes. Add later.</t>
  </si>
  <si>
    <t xml:space="preserve">A hoverboard motor</t>
  </si>
  <si>
    <t xml:space="preserve">≈ $40–50</t>
  </si>
  <si>
    <t xml:space="preserve">You already have one.</t>
  </si>
  <si>
    <t xml:space="preserve">10-packs of parts you need one of (XT60, switches, screws)</t>
  </si>
  <si>
    <t xml:space="preserve">a few $ each</t>
  </si>
  <si>
    <t xml:space="preserve">Pick the smallest quantity.</t>
  </si>
  <si>
    <t xml:space="preserve">Filament</t>
  </si>
  <si>
    <t xml:space="preserve">≈ $22 per kg</t>
  </si>
  <si>
    <t xml:space="preserve">You're budgeting printing separately.</t>
  </si>
  <si>
    <t xml:space="preserve">• Links: 'DAZ's listing' = DAZ's own AliExpress (affiliate) link; 'Listing' = a cheaper specific listing; 'Search' = every seller of that part. Listing check: product page confirmed live on 3 Oct 2026, or blocked by AliExpress's bot check ('not auto-checked' – the link still works).</t>
  </si>
  <si>
    <t xml:space="preserve">• Target prices: estimates in AUD incl. 10% GST from DAZ's link prices (mostly May 2025) and a 3 Oct 2026 price search on AliExpress's US store, whose prices include US import tariffs. Australian prices are usually a little lower. Edit the blue cells if you find better prices.</t>
  </si>
  <si>
    <t xml:space="preserve">• Already have the hoverboard motor, so it isn't in the cart. Same total as the wheel parts list (≈ $193).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</si>
</sst>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-$&quot;#,##0.00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.click.aliexpress.com/e/_oFETcUp" TargetMode="External"/><Relationship Id="rId2" Type="http://schemas.openxmlformats.org/officeDocument/2006/relationships/hyperlink" Target="https://www.aliexpress.com/item/1005008155597487.html" TargetMode="External"/><Relationship Id="rId3" Type="http://schemas.openxmlformats.org/officeDocument/2006/relationships/hyperlink" Target="https://s.click.aliexpress.com/e/_ok5Vs9o" TargetMode="External"/><Relationship Id="rId4" Type="http://schemas.openxmlformats.org/officeDocument/2006/relationships/hyperlink" Target="https://s.click.aliexpress.com/e/_c3IWZwun" TargetMode="External"/><Relationship Id="rId5" Type="http://schemas.openxmlformats.org/officeDocument/2006/relationships/hyperlink" Target="https://s.click.aliexpress.com/e/_c3OYEWzh" TargetMode="External"/><Relationship Id="rId6" Type="http://schemas.openxmlformats.org/officeDocument/2006/relationships/hyperlink" Target="https://www.aliexpress.com/w/wholesale-13-inch-330mm-flat-steering-wheel.html" TargetMode="External"/><Relationship Id="rId7" Type="http://schemas.openxmlformats.org/officeDocument/2006/relationships/hyperlink" Target="https://s.click.aliexpress.com/e/_c3fJjf0h" TargetMode="External"/><Relationship Id="rId8" Type="http://schemas.openxmlformats.org/officeDocument/2006/relationships/hyperlink" Target="https://www.aliexpress.com/item/3256802812144737.html" TargetMode="External"/><Relationship Id="rId9" Type="http://schemas.openxmlformats.org/officeDocument/2006/relationships/hyperlink" Target="https://s.click.aliexpress.com/e/_c4EYnqTF" TargetMode="External"/><Relationship Id="rId10" Type="http://schemas.openxmlformats.org/officeDocument/2006/relationships/hyperlink" Target="https://www.aliexpress.com/item/3256806868608169.html" TargetMode="External"/><Relationship Id="rId11" Type="http://schemas.openxmlformats.org/officeDocument/2006/relationships/hyperlink" Target="https://s.click.aliexpress.com/e/_oD4czbg" TargetMode="External"/><Relationship Id="rId12" Type="http://schemas.openxmlformats.org/officeDocument/2006/relationships/hyperlink" Target="https://www.aliexpress.com/w/wholesale-GT2-idler-20T-5mm-bore.html" TargetMode="External"/><Relationship Id="rId13" Type="http://schemas.openxmlformats.org/officeDocument/2006/relationships/hyperlink" Target="https://www.aliexpress.com/item/3256801313203398.html" TargetMode="External"/><Relationship Id="rId14" Type="http://schemas.openxmlformats.org/officeDocument/2006/relationships/hyperlink" Target="https://www.aliexpress.com/w/wholesale-24V-10A-power-supply-adapter.html" TargetMode="External"/><Relationship Id="rId15" Type="http://schemas.openxmlformats.org/officeDocument/2006/relationships/hyperlink" Target="https://www.aliexpress.com/item/3256804535785124.html" TargetMode="External"/><Relationship Id="rId16" Type="http://schemas.openxmlformats.org/officeDocument/2006/relationships/hyperlink" Target="https://www.aliexpress.com/w/wholesale-XT60-connector-male-female.html" TargetMode="External"/><Relationship Id="rId17" Type="http://schemas.openxmlformats.org/officeDocument/2006/relationships/hyperlink" Target="https://s.click.aliexpress.com/e/_c3QMepGj" TargetMode="External"/><Relationship Id="rId18" Type="http://schemas.openxmlformats.org/officeDocument/2006/relationships/hyperlink" Target="https://www.aliexpress.com/w/wholesale-16mm-cross-clamp.html" TargetMode="External"/><Relationship Id="rId19" Type="http://schemas.openxmlformats.org/officeDocument/2006/relationships/hyperlink" Target="https://s.click.aliexpress.com/e/_c4b6DgPd" TargetMode="External"/><Relationship Id="rId20" Type="http://schemas.openxmlformats.org/officeDocument/2006/relationships/hyperlink" Target="https://www.bunnings.com.au/metal-mate-16-x-1mm-1m-aluminium-round-tube-1m_p1067768" TargetMode="External"/><Relationship Id="rId21" Type="http://schemas.openxmlformats.org/officeDocument/2006/relationships/hyperlink" Target="https://www.aliexpress.com/item/3256807536855177.html" TargetMode="External"/><Relationship Id="rId22" Type="http://schemas.openxmlformats.org/officeDocument/2006/relationships/hyperlink" Target="https://s.click.aliexpress.com/e/_c42xcgIL" TargetMode="External"/><Relationship Id="rId23" Type="http://schemas.openxmlformats.org/officeDocument/2006/relationships/hyperlink" Target="https://s.click.aliexpress.com/e/_c3AAn9P1" TargetMode="External"/><Relationship Id="rId24" Type="http://schemas.openxmlformats.org/officeDocument/2006/relationships/hyperlink" Target="https://www.aliexpress.com/item/3256808651860099.html" TargetMode="External"/><Relationship Id="rId25" Type="http://schemas.openxmlformats.org/officeDocument/2006/relationships/hyperlink" Target="https://www.aliexpress.com/item/1005002388714967.html" TargetMode="External"/><Relationship Id="rId26" Type="http://schemas.openxmlformats.org/officeDocument/2006/relationships/hyperlink" Target="https://www.aliexpress.com/w/wholesale-2.2k-resistor.html" TargetMode="External"/><Relationship Id="rId27" Type="http://schemas.openxmlformats.org/officeDocument/2006/relationships/hyperlink" Target="https://s.click.aliexpress.com/e/_c4F4mPuh" TargetMode="External"/><Relationship Id="rId28" Type="http://schemas.openxmlformats.org/officeDocument/2006/relationships/hyperlink" Target="https://www.aliexpress.com/w/wholesale-M5x20-socket-head-screw.html" TargetMode="External"/><Relationship Id="rId29" Type="http://schemas.openxmlformats.org/officeDocument/2006/relationships/hyperlink" Target="https://s.click.aliexpress.com/e/_c4F4mPuh" TargetMode="External"/><Relationship Id="rId30" Type="http://schemas.openxmlformats.org/officeDocument/2006/relationships/hyperlink" Target="https://www.aliexpress.com/w/wholesale-M5x25-socket-head-screw.html" TargetMode="External"/><Relationship Id="rId31" Type="http://schemas.openxmlformats.org/officeDocument/2006/relationships/hyperlink" Target="https://s.click.aliexpress.com/e/_c4F4mPuh" TargetMode="External"/><Relationship Id="rId32" Type="http://schemas.openxmlformats.org/officeDocument/2006/relationships/hyperlink" Target="https://www.aliexpress.com/w/wholesale-M5x40-socket-head-screw.html" TargetMode="External"/><Relationship Id="rId33" Type="http://schemas.openxmlformats.org/officeDocument/2006/relationships/hyperlink" Target="https://s.click.aliexpress.com/e/_c4F4mPuh" TargetMode="External"/><Relationship Id="rId34" Type="http://schemas.openxmlformats.org/officeDocument/2006/relationships/hyperlink" Target="https://www.aliexpress.com/w/wholesale-M3x10-socket-head-screw.html" TargetMode="External"/><Relationship Id="rId35" Type="http://schemas.openxmlformats.org/officeDocument/2006/relationships/hyperlink" Target="https://s.click.aliexpress.com/e/_c3c2tuQh" TargetMode="External"/><Relationship Id="rId36" Type="http://schemas.openxmlformats.org/officeDocument/2006/relationships/hyperlink" Target="https://www.aliexpress.com/w/wholesale-M6x30-countersunk-screw.html" TargetMode="External"/><Relationship Id="rId37" Type="http://schemas.openxmlformats.org/officeDocument/2006/relationships/hyperlink" Target="https://s.click.aliexpress.com/e/_c3c2tuQh" TargetMode="External"/><Relationship Id="rId38" Type="http://schemas.openxmlformats.org/officeDocument/2006/relationships/hyperlink" Target="https://www.aliexpress.com/w/wholesale-M6x45-countersunk-screw.html" TargetMode="External"/><Relationship Id="rId39" Type="http://schemas.openxmlformats.org/officeDocument/2006/relationships/hyperlink" Target="https://s.click.aliexpress.com/e/_c4TpvOcH" TargetMode="External"/><Relationship Id="rId40" Type="http://schemas.openxmlformats.org/officeDocument/2006/relationships/hyperlink" Target="https://www.aliexpress.com/w/wholesale-M3x12-self-tapping-screw.html" TargetMode="External"/><Relationship Id="rId41" Type="http://schemas.openxmlformats.org/officeDocument/2006/relationships/hyperlink" Target="https://s.click.aliexpress.com/e/_c4TpvOcH" TargetMode="External"/><Relationship Id="rId42" Type="http://schemas.openxmlformats.org/officeDocument/2006/relationships/hyperlink" Target="https://www.aliexpress.com/w/wholesale-M2.5x6-self-tapping-screw.html" TargetMode="External"/><Relationship Id="rId43" Type="http://schemas.openxmlformats.org/officeDocument/2006/relationships/hyperlink" Target="https://s.click.aliexpress.com/e/_c4CPm5kp" TargetMode="External"/><Relationship Id="rId44" Type="http://schemas.openxmlformats.org/officeDocument/2006/relationships/hyperlink" Target="https://www.aliexpress.com/w/wholesale-M5-hex-nut.html" TargetMode="External"/><Relationship Id="rId45" Type="http://schemas.openxmlformats.org/officeDocument/2006/relationships/hyperlink" Target="https://s.click.aliexpress.com/e/_c4CPm5kp" TargetMode="External"/><Relationship Id="rId46" Type="http://schemas.openxmlformats.org/officeDocument/2006/relationships/hyperlink" Target="https://www.aliexpress.com/w/wholesale-M6-hex-nut.html" TargetMode="External"/><Relationship Id="rId47" Type="http://schemas.openxmlformats.org/officeDocument/2006/relationships/hyperlink" Target="https://www.bunnings.com.au/search/products?q=m5%20washer" TargetMode="External"/><Relationship Id="rId48" Type="http://schemas.openxmlformats.org/officeDocument/2006/relationships/hyperlink" Target="https://www.aliexpress.com/item/2255799862153783.html" TargetMode="External"/><Relationship Id="rId49" Type="http://schemas.openxmlformats.org/officeDocument/2006/relationships/hyperlink" Target="https://www.bunnings.com.au/search/products?q=3mm%20nail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4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5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7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54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C3" s="3" t="s">
        <v>2</v>
      </c>
      <c r="G3" s="4" t="n">
        <f aca="false">G40</f>
        <v>193</v>
      </c>
    </row>
    <row r="4" customFormat="false" ht="15" hidden="false" customHeight="false" outlineLevel="0" collapsed="false">
      <c r="C4" s="3" t="s">
        <v>3</v>
      </c>
      <c r="G4" s="4" t="str">
        <f aca="false">H40</f>
        <v/>
      </c>
      <c r="H4" s="3" t="str">
        <f aca="false">IF(G4="","","Over target by")</f>
        <v/>
      </c>
      <c r="I4" s="4" t="str">
        <f aca="false">IF(G4="","",I40)</f>
        <v/>
      </c>
    </row>
    <row r="5" customFormat="false" ht="15" hidden="false" customHeight="false" outlineLevel="0" collapsed="false">
      <c r="C5" s="2" t="s">
        <v>4</v>
      </c>
    </row>
    <row r="6" customFormat="false" ht="27.75" hidden="false" customHeight="true" outlineLevel="0" collapsed="false">
      <c r="A6" s="5" t="s">
        <v>5</v>
      </c>
      <c r="B6" s="5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</row>
    <row r="7" customFormat="false" ht="15" hidden="false" customHeight="false" outlineLevel="0" collapsed="false">
      <c r="A7" s="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customFormat="false" ht="28.5" hidden="false" customHeight="true" outlineLevel="0" collapsed="false">
      <c r="A8" s="8"/>
      <c r="B8" s="9" t="n">
        <v>1</v>
      </c>
      <c r="C8" s="10" t="s">
        <v>19</v>
      </c>
      <c r="D8" s="10" t="s">
        <v>20</v>
      </c>
      <c r="E8" s="11" t="n">
        <v>1</v>
      </c>
      <c r="F8" s="12" t="n">
        <v>50</v>
      </c>
      <c r="G8" s="13" t="n">
        <f aca="false">E8*F8</f>
        <v>50</v>
      </c>
      <c r="H8" s="14"/>
      <c r="I8" s="13" t="str">
        <f aca="false">IF(H8="","",H8-G8)</f>
        <v/>
      </c>
      <c r="J8" s="15" t="s">
        <v>21</v>
      </c>
      <c r="K8" s="15" t="s">
        <v>22</v>
      </c>
      <c r="L8" s="16" t="s">
        <v>23</v>
      </c>
      <c r="M8" s="10" t="s">
        <v>24</v>
      </c>
    </row>
    <row r="9" customFormat="false" ht="28.5" hidden="false" customHeight="true" outlineLevel="0" collapsed="false">
      <c r="A9" s="8"/>
      <c r="B9" s="9" t="n">
        <v>2</v>
      </c>
      <c r="C9" s="10" t="s">
        <v>25</v>
      </c>
      <c r="D9" s="10" t="s">
        <v>26</v>
      </c>
      <c r="E9" s="11" t="n">
        <v>1</v>
      </c>
      <c r="F9" s="12" t="n">
        <v>21</v>
      </c>
      <c r="G9" s="13" t="n">
        <f aca="false">E9*F9</f>
        <v>21</v>
      </c>
      <c r="H9" s="14"/>
      <c r="I9" s="13" t="str">
        <f aca="false">IF(H9="","",H9-G9)</f>
        <v/>
      </c>
      <c r="J9" s="15" t="s">
        <v>21</v>
      </c>
      <c r="K9" s="15" t="s">
        <v>27</v>
      </c>
      <c r="L9" s="16" t="s">
        <v>23</v>
      </c>
      <c r="M9" s="10" t="s">
        <v>28</v>
      </c>
    </row>
    <row r="10" customFormat="false" ht="28.5" hidden="false" customHeight="true" outlineLevel="0" collapsed="false">
      <c r="A10" s="8"/>
      <c r="B10" s="9" t="n">
        <v>3</v>
      </c>
      <c r="C10" s="10" t="s">
        <v>29</v>
      </c>
      <c r="D10" s="10" t="s">
        <v>30</v>
      </c>
      <c r="E10" s="11" t="n">
        <v>1</v>
      </c>
      <c r="F10" s="12" t="n">
        <v>38</v>
      </c>
      <c r="G10" s="13" t="n">
        <f aca="false">E10*F10</f>
        <v>38</v>
      </c>
      <c r="H10" s="14"/>
      <c r="I10" s="13" t="str">
        <f aca="false">IF(H10="","",H10-G10)</f>
        <v/>
      </c>
      <c r="J10" s="15" t="s">
        <v>21</v>
      </c>
      <c r="K10" s="15" t="s">
        <v>31</v>
      </c>
      <c r="L10" s="16" t="s">
        <v>23</v>
      </c>
      <c r="M10" s="10" t="s">
        <v>32</v>
      </c>
    </row>
    <row r="11" customFormat="false" ht="15.75" hidden="false" customHeight="true" outlineLevel="0" collapsed="false">
      <c r="A11" s="8"/>
      <c r="B11" s="9" t="n">
        <v>4</v>
      </c>
      <c r="C11" s="10" t="s">
        <v>33</v>
      </c>
      <c r="D11" s="10" t="s">
        <v>34</v>
      </c>
      <c r="E11" s="11" t="n">
        <v>1</v>
      </c>
      <c r="F11" s="12" t="n">
        <v>1.5</v>
      </c>
      <c r="G11" s="13" t="n">
        <f aca="false">E11*F11</f>
        <v>1.5</v>
      </c>
      <c r="H11" s="14"/>
      <c r="I11" s="13" t="str">
        <f aca="false">IF(H11="","",H11-G11)</f>
        <v/>
      </c>
      <c r="J11" s="15" t="s">
        <v>21</v>
      </c>
      <c r="K11" s="15" t="s">
        <v>35</v>
      </c>
      <c r="L11" s="16" t="s">
        <v>23</v>
      </c>
      <c r="M11" s="10" t="s">
        <v>36</v>
      </c>
    </row>
    <row r="12" customFormat="false" ht="15.75" hidden="false" customHeight="true" outlineLevel="0" collapsed="false">
      <c r="A12" s="8"/>
      <c r="B12" s="9" t="n">
        <v>5</v>
      </c>
      <c r="C12" s="10" t="s">
        <v>37</v>
      </c>
      <c r="D12" s="10" t="s">
        <v>38</v>
      </c>
      <c r="E12" s="11" t="n">
        <v>1</v>
      </c>
      <c r="F12" s="12" t="n">
        <v>3.5</v>
      </c>
      <c r="G12" s="13" t="n">
        <f aca="false">E12*F12</f>
        <v>3.5</v>
      </c>
      <c r="H12" s="14"/>
      <c r="I12" s="13" t="str">
        <f aca="false">IF(H12="","",H12-G12)</f>
        <v/>
      </c>
      <c r="J12" s="15" t="s">
        <v>21</v>
      </c>
      <c r="K12" s="15" t="s">
        <v>39</v>
      </c>
      <c r="L12" s="16" t="s">
        <v>23</v>
      </c>
      <c r="M12" s="10" t="s">
        <v>40</v>
      </c>
    </row>
    <row r="13" customFormat="false" ht="15.75" hidden="false" customHeight="true" outlineLevel="0" collapsed="false">
      <c r="A13" s="8"/>
      <c r="B13" s="9" t="n">
        <v>6</v>
      </c>
      <c r="C13" s="10" t="s">
        <v>41</v>
      </c>
      <c r="D13" s="10" t="s">
        <v>42</v>
      </c>
      <c r="E13" s="11" t="n">
        <v>1</v>
      </c>
      <c r="F13" s="12" t="n">
        <v>3.5</v>
      </c>
      <c r="G13" s="13" t="n">
        <f aca="false">E13*F13</f>
        <v>3.5</v>
      </c>
      <c r="H13" s="14"/>
      <c r="I13" s="13" t="str">
        <f aca="false">IF(H13="","",H13-G13)</f>
        <v/>
      </c>
      <c r="J13" s="15" t="s">
        <v>21</v>
      </c>
      <c r="K13" s="15" t="s">
        <v>43</v>
      </c>
      <c r="L13" s="16" t="s">
        <v>23</v>
      </c>
      <c r="M13" s="10"/>
    </row>
    <row r="14" customFormat="false" ht="28.5" hidden="false" customHeight="true" outlineLevel="0" collapsed="false">
      <c r="A14" s="8"/>
      <c r="B14" s="9" t="n">
        <v>7</v>
      </c>
      <c r="C14" s="10" t="s">
        <v>44</v>
      </c>
      <c r="D14" s="10" t="s">
        <v>45</v>
      </c>
      <c r="E14" s="11" t="n">
        <v>1</v>
      </c>
      <c r="F14" s="12" t="n">
        <v>25</v>
      </c>
      <c r="G14" s="13" t="n">
        <f aca="false">E14*F14</f>
        <v>25</v>
      </c>
      <c r="H14" s="14"/>
      <c r="I14" s="13" t="str">
        <f aca="false">IF(H14="","",H14-G14)</f>
        <v/>
      </c>
      <c r="J14" s="15" t="s">
        <v>46</v>
      </c>
      <c r="K14" s="15" t="s">
        <v>47</v>
      </c>
      <c r="L14" s="16" t="s">
        <v>23</v>
      </c>
      <c r="M14" s="10" t="s">
        <v>48</v>
      </c>
    </row>
    <row r="15" customFormat="false" ht="28.5" hidden="false" customHeight="true" outlineLevel="0" collapsed="false">
      <c r="A15" s="8"/>
      <c r="B15" s="9" t="n">
        <v>8</v>
      </c>
      <c r="C15" s="10" t="s">
        <v>49</v>
      </c>
      <c r="D15" s="10" t="s">
        <v>50</v>
      </c>
      <c r="E15" s="11" t="n">
        <v>1</v>
      </c>
      <c r="F15" s="12" t="n">
        <v>5</v>
      </c>
      <c r="G15" s="13" t="n">
        <f aca="false">E15*F15</f>
        <v>5</v>
      </c>
      <c r="H15" s="14"/>
      <c r="I15" s="13" t="str">
        <f aca="false">IF(H15="","",H15-G15)</f>
        <v/>
      </c>
      <c r="J15" s="15" t="s">
        <v>51</v>
      </c>
      <c r="K15" s="15" t="s">
        <v>52</v>
      </c>
      <c r="L15" s="16" t="s">
        <v>23</v>
      </c>
      <c r="M15" s="10" t="s">
        <v>53</v>
      </c>
    </row>
    <row r="16" customFormat="false" ht="15.75" hidden="false" customHeight="true" outlineLevel="0" collapsed="false">
      <c r="A16" s="8"/>
      <c r="B16" s="9" t="n">
        <v>9</v>
      </c>
      <c r="C16" s="10" t="s">
        <v>54</v>
      </c>
      <c r="D16" s="10" t="s">
        <v>55</v>
      </c>
      <c r="E16" s="11" t="n">
        <v>1</v>
      </c>
      <c r="F16" s="12" t="n">
        <v>6</v>
      </c>
      <c r="G16" s="13" t="n">
        <f aca="false">E16*F16</f>
        <v>6</v>
      </c>
      <c r="H16" s="14"/>
      <c r="I16" s="13" t="str">
        <f aca="false">IF(H16="","",H16-G16)</f>
        <v/>
      </c>
      <c r="J16" s="15" t="s">
        <v>21</v>
      </c>
      <c r="K16" s="15" t="s">
        <v>56</v>
      </c>
      <c r="L16" s="16" t="s">
        <v>23</v>
      </c>
      <c r="M16" s="10" t="s">
        <v>57</v>
      </c>
    </row>
    <row r="17" customFormat="false" ht="28.5" hidden="false" customHeight="true" outlineLevel="0" collapsed="false">
      <c r="A17" s="8"/>
      <c r="B17" s="9" t="n">
        <v>10</v>
      </c>
      <c r="C17" s="10" t="s">
        <v>58</v>
      </c>
      <c r="D17" s="10" t="s">
        <v>59</v>
      </c>
      <c r="E17" s="11" t="n">
        <v>1</v>
      </c>
      <c r="F17" s="12" t="n">
        <v>4.5</v>
      </c>
      <c r="G17" s="13" t="n">
        <f aca="false">E17*F17</f>
        <v>4.5</v>
      </c>
      <c r="H17" s="14"/>
      <c r="I17" s="13" t="str">
        <f aca="false">IF(H17="","",H17-G17)</f>
        <v/>
      </c>
      <c r="J17" s="15" t="s">
        <v>21</v>
      </c>
      <c r="K17" s="15" t="s">
        <v>60</v>
      </c>
      <c r="L17" s="16" t="s">
        <v>23</v>
      </c>
      <c r="M17" s="10" t="s">
        <v>61</v>
      </c>
    </row>
    <row r="18" customFormat="false" ht="28.5" hidden="false" customHeight="true" outlineLevel="0" collapsed="false">
      <c r="A18" s="8"/>
      <c r="B18" s="9" t="n">
        <v>11</v>
      </c>
      <c r="C18" s="10" t="s">
        <v>62</v>
      </c>
      <c r="D18" s="10" t="s">
        <v>63</v>
      </c>
      <c r="E18" s="11" t="n">
        <v>1</v>
      </c>
      <c r="F18" s="12" t="n">
        <v>12</v>
      </c>
      <c r="G18" s="13" t="n">
        <f aca="false">E18*F18</f>
        <v>12</v>
      </c>
      <c r="H18" s="14"/>
      <c r="I18" s="13" t="str">
        <f aca="false">IF(H18="","",H18-G18)</f>
        <v/>
      </c>
      <c r="J18" s="15" t="s">
        <v>64</v>
      </c>
      <c r="K18" s="15" t="s">
        <v>65</v>
      </c>
      <c r="L18" s="16" t="s">
        <v>23</v>
      </c>
      <c r="M18" s="10" t="s">
        <v>66</v>
      </c>
    </row>
    <row r="19" customFormat="false" ht="15.75" hidden="false" customHeight="true" outlineLevel="0" collapsed="false">
      <c r="A19" s="8"/>
      <c r="B19" s="9" t="n">
        <v>12</v>
      </c>
      <c r="C19" s="10" t="s">
        <v>67</v>
      </c>
      <c r="D19" s="10" t="s">
        <v>68</v>
      </c>
      <c r="E19" s="11" t="n">
        <v>1</v>
      </c>
      <c r="F19" s="12" t="n">
        <v>6</v>
      </c>
      <c r="G19" s="13" t="n">
        <f aca="false">E19*F19</f>
        <v>6</v>
      </c>
      <c r="H19" s="14"/>
      <c r="I19" s="13" t="str">
        <f aca="false">IF(H19="","",H19-G19)</f>
        <v/>
      </c>
      <c r="J19" s="15" t="s">
        <v>21</v>
      </c>
      <c r="K19" s="15" t="s">
        <v>69</v>
      </c>
      <c r="L19" s="16" t="s">
        <v>23</v>
      </c>
      <c r="M19" s="10"/>
    </row>
    <row r="20" customFormat="false" ht="15.75" hidden="false" customHeight="true" outlineLevel="0" collapsed="false">
      <c r="A20" s="8"/>
      <c r="B20" s="9" t="n">
        <v>13</v>
      </c>
      <c r="C20" s="10" t="s">
        <v>70</v>
      </c>
      <c r="D20" s="10" t="s">
        <v>71</v>
      </c>
      <c r="E20" s="11" t="n">
        <v>1</v>
      </c>
      <c r="F20" s="12" t="n">
        <v>1</v>
      </c>
      <c r="G20" s="13" t="n">
        <f aca="false">E20*F20</f>
        <v>1</v>
      </c>
      <c r="H20" s="14"/>
      <c r="I20" s="13" t="str">
        <f aca="false">IF(H20="","",H20-G20)</f>
        <v/>
      </c>
      <c r="J20" s="15" t="s">
        <v>72</v>
      </c>
      <c r="K20" s="15" t="s">
        <v>73</v>
      </c>
      <c r="L20" s="16" t="s">
        <v>23</v>
      </c>
      <c r="M20" s="10" t="s">
        <v>74</v>
      </c>
    </row>
    <row r="22" customFormat="false" ht="15" hidden="false" customHeight="false" outlineLevel="0" collapsed="false">
      <c r="A22" s="7" t="s">
        <v>75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customFormat="false" ht="15.75" hidden="false" customHeight="true" outlineLevel="0" collapsed="false">
      <c r="A23" s="8"/>
      <c r="B23" s="9" t="n">
        <v>14</v>
      </c>
      <c r="C23" s="10" t="s">
        <v>76</v>
      </c>
      <c r="D23" s="10" t="s">
        <v>77</v>
      </c>
      <c r="E23" s="11" t="n">
        <v>1</v>
      </c>
      <c r="F23" s="12" t="n">
        <v>1.5</v>
      </c>
      <c r="G23" s="13" t="n">
        <f aca="false">E23*F23</f>
        <v>1.5</v>
      </c>
      <c r="H23" s="14"/>
      <c r="I23" s="13" t="str">
        <f aca="false">IF(H23="","",H23-G23)</f>
        <v/>
      </c>
      <c r="J23" s="15" t="s">
        <v>21</v>
      </c>
      <c r="K23" s="15" t="s">
        <v>78</v>
      </c>
      <c r="L23" s="16" t="s">
        <v>23</v>
      </c>
      <c r="M23" s="10"/>
    </row>
    <row r="24" customFormat="false" ht="15.75" hidden="false" customHeight="true" outlineLevel="0" collapsed="false">
      <c r="A24" s="8"/>
      <c r="B24" s="9" t="n">
        <v>15</v>
      </c>
      <c r="C24" s="10" t="s">
        <v>76</v>
      </c>
      <c r="D24" s="10" t="s">
        <v>79</v>
      </c>
      <c r="E24" s="11" t="n">
        <v>1</v>
      </c>
      <c r="F24" s="12" t="n">
        <v>1.5</v>
      </c>
      <c r="G24" s="13" t="n">
        <f aca="false">E24*F24</f>
        <v>1.5</v>
      </c>
      <c r="H24" s="14"/>
      <c r="I24" s="13" t="str">
        <f aca="false">IF(H24="","",H24-G24)</f>
        <v/>
      </c>
      <c r="J24" s="15" t="s">
        <v>21</v>
      </c>
      <c r="K24" s="15" t="s">
        <v>80</v>
      </c>
      <c r="L24" s="16" t="s">
        <v>23</v>
      </c>
      <c r="M24" s="10"/>
    </row>
    <row r="25" customFormat="false" ht="15.75" hidden="false" customHeight="true" outlineLevel="0" collapsed="false">
      <c r="A25" s="8"/>
      <c r="B25" s="9" t="n">
        <v>16</v>
      </c>
      <c r="C25" s="10" t="s">
        <v>76</v>
      </c>
      <c r="D25" s="10" t="s">
        <v>81</v>
      </c>
      <c r="E25" s="11" t="n">
        <v>1</v>
      </c>
      <c r="F25" s="12" t="n">
        <v>1.5</v>
      </c>
      <c r="G25" s="13" t="n">
        <f aca="false">E25*F25</f>
        <v>1.5</v>
      </c>
      <c r="H25" s="14"/>
      <c r="I25" s="13" t="str">
        <f aca="false">IF(H25="","",H25-G25)</f>
        <v/>
      </c>
      <c r="J25" s="15" t="s">
        <v>21</v>
      </c>
      <c r="K25" s="15" t="s">
        <v>82</v>
      </c>
      <c r="L25" s="16" t="s">
        <v>23</v>
      </c>
      <c r="M25" s="10"/>
    </row>
    <row r="26" customFormat="false" ht="15.75" hidden="false" customHeight="true" outlineLevel="0" collapsed="false">
      <c r="A26" s="8"/>
      <c r="B26" s="9" t="n">
        <v>17</v>
      </c>
      <c r="C26" s="10" t="s">
        <v>76</v>
      </c>
      <c r="D26" s="10" t="s">
        <v>83</v>
      </c>
      <c r="E26" s="11" t="n">
        <v>1</v>
      </c>
      <c r="F26" s="12" t="n">
        <v>1</v>
      </c>
      <c r="G26" s="13" t="n">
        <f aca="false">E26*F26</f>
        <v>1</v>
      </c>
      <c r="H26" s="14"/>
      <c r="I26" s="13" t="str">
        <f aca="false">IF(H26="","",H26-G26)</f>
        <v/>
      </c>
      <c r="J26" s="15" t="s">
        <v>21</v>
      </c>
      <c r="K26" s="15" t="s">
        <v>84</v>
      </c>
      <c r="L26" s="16" t="s">
        <v>23</v>
      </c>
      <c r="M26" s="10"/>
    </row>
    <row r="27" customFormat="false" ht="15.75" hidden="false" customHeight="true" outlineLevel="0" collapsed="false">
      <c r="A27" s="8"/>
      <c r="B27" s="9" t="n">
        <v>18</v>
      </c>
      <c r="C27" s="10" t="s">
        <v>85</v>
      </c>
      <c r="D27" s="10" t="s">
        <v>86</v>
      </c>
      <c r="E27" s="11" t="n">
        <v>1</v>
      </c>
      <c r="F27" s="12" t="n">
        <v>1.5</v>
      </c>
      <c r="G27" s="13" t="n">
        <f aca="false">E27*F27</f>
        <v>1.5</v>
      </c>
      <c r="H27" s="14"/>
      <c r="I27" s="13" t="str">
        <f aca="false">IF(H27="","",H27-G27)</f>
        <v/>
      </c>
      <c r="J27" s="15" t="s">
        <v>21</v>
      </c>
      <c r="K27" s="15" t="s">
        <v>87</v>
      </c>
      <c r="L27" s="16" t="s">
        <v>23</v>
      </c>
      <c r="M27" s="10"/>
    </row>
    <row r="28" customFormat="false" ht="15.75" hidden="false" customHeight="true" outlineLevel="0" collapsed="false">
      <c r="A28" s="8"/>
      <c r="B28" s="9" t="n">
        <v>19</v>
      </c>
      <c r="C28" s="10" t="s">
        <v>85</v>
      </c>
      <c r="D28" s="10" t="s">
        <v>88</v>
      </c>
      <c r="E28" s="11" t="n">
        <v>1</v>
      </c>
      <c r="F28" s="12" t="n">
        <v>1.5</v>
      </c>
      <c r="G28" s="13" t="n">
        <f aca="false">E28*F28</f>
        <v>1.5</v>
      </c>
      <c r="H28" s="14"/>
      <c r="I28" s="13" t="str">
        <f aca="false">IF(H28="","",H28-G28)</f>
        <v/>
      </c>
      <c r="J28" s="15" t="s">
        <v>21</v>
      </c>
      <c r="K28" s="15" t="s">
        <v>89</v>
      </c>
      <c r="L28" s="16" t="s">
        <v>23</v>
      </c>
      <c r="M28" s="10"/>
    </row>
    <row r="29" customFormat="false" ht="28.5" hidden="false" customHeight="true" outlineLevel="0" collapsed="false">
      <c r="A29" s="8"/>
      <c r="B29" s="9" t="n">
        <v>20</v>
      </c>
      <c r="C29" s="10" t="s">
        <v>90</v>
      </c>
      <c r="D29" s="10" t="s">
        <v>91</v>
      </c>
      <c r="E29" s="11" t="n">
        <v>1</v>
      </c>
      <c r="F29" s="12" t="n">
        <v>1</v>
      </c>
      <c r="G29" s="13" t="n">
        <f aca="false">E29*F29</f>
        <v>1</v>
      </c>
      <c r="H29" s="14"/>
      <c r="I29" s="13" t="str">
        <f aca="false">IF(H29="","",H29-G29)</f>
        <v/>
      </c>
      <c r="J29" s="15" t="s">
        <v>21</v>
      </c>
      <c r="K29" s="15" t="s">
        <v>92</v>
      </c>
      <c r="L29" s="16" t="s">
        <v>23</v>
      </c>
      <c r="M29" s="10" t="s">
        <v>93</v>
      </c>
    </row>
    <row r="30" customFormat="false" ht="28.5" hidden="false" customHeight="true" outlineLevel="0" collapsed="false">
      <c r="A30" s="8"/>
      <c r="B30" s="9" t="n">
        <v>21</v>
      </c>
      <c r="C30" s="10" t="s">
        <v>90</v>
      </c>
      <c r="D30" s="10" t="s">
        <v>94</v>
      </c>
      <c r="E30" s="11" t="n">
        <v>1</v>
      </c>
      <c r="F30" s="12" t="n">
        <v>1</v>
      </c>
      <c r="G30" s="13" t="n">
        <f aca="false">E30*F30</f>
        <v>1</v>
      </c>
      <c r="H30" s="14"/>
      <c r="I30" s="13" t="str">
        <f aca="false">IF(H30="","",H30-G30)</f>
        <v/>
      </c>
      <c r="J30" s="15" t="s">
        <v>21</v>
      </c>
      <c r="K30" s="15" t="s">
        <v>95</v>
      </c>
      <c r="L30" s="16" t="s">
        <v>23</v>
      </c>
      <c r="M30" s="10"/>
    </row>
    <row r="31" customFormat="false" ht="15.75" hidden="false" customHeight="true" outlineLevel="0" collapsed="false">
      <c r="A31" s="8"/>
      <c r="B31" s="9" t="n">
        <v>22</v>
      </c>
      <c r="C31" s="10" t="s">
        <v>96</v>
      </c>
      <c r="D31" s="10" t="s">
        <v>97</v>
      </c>
      <c r="E31" s="11" t="n">
        <v>1</v>
      </c>
      <c r="F31" s="12" t="n">
        <v>1</v>
      </c>
      <c r="G31" s="13" t="n">
        <f aca="false">E31*F31</f>
        <v>1</v>
      </c>
      <c r="H31" s="14"/>
      <c r="I31" s="13" t="str">
        <f aca="false">IF(H31="","",H31-G31)</f>
        <v/>
      </c>
      <c r="J31" s="15" t="s">
        <v>21</v>
      </c>
      <c r="K31" s="15" t="s">
        <v>98</v>
      </c>
      <c r="L31" s="16" t="s">
        <v>23</v>
      </c>
      <c r="M31" s="10"/>
    </row>
    <row r="32" customFormat="false" ht="15.75" hidden="false" customHeight="true" outlineLevel="0" collapsed="false">
      <c r="A32" s="8"/>
      <c r="B32" s="9" t="n">
        <v>23</v>
      </c>
      <c r="C32" s="10" t="s">
        <v>96</v>
      </c>
      <c r="D32" s="10" t="s">
        <v>99</v>
      </c>
      <c r="E32" s="11" t="n">
        <v>1</v>
      </c>
      <c r="F32" s="12" t="n">
        <v>1</v>
      </c>
      <c r="G32" s="13" t="n">
        <f aca="false">E32*F32</f>
        <v>1</v>
      </c>
      <c r="H32" s="14"/>
      <c r="I32" s="13" t="str">
        <f aca="false">IF(H32="","",H32-G32)</f>
        <v/>
      </c>
      <c r="J32" s="15" t="s">
        <v>21</v>
      </c>
      <c r="K32" s="15" t="s">
        <v>100</v>
      </c>
      <c r="L32" s="16" t="s">
        <v>23</v>
      </c>
      <c r="M32" s="10"/>
    </row>
    <row r="34" customFormat="false" ht="15" hidden="false" customHeight="false" outlineLevel="0" collapsed="false">
      <c r="A34" s="7" t="s">
        <v>101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customFormat="false" ht="15.75" hidden="false" customHeight="true" outlineLevel="0" collapsed="false">
      <c r="A35" s="8"/>
      <c r="B35" s="9" t="n">
        <v>24</v>
      </c>
      <c r="C35" s="10" t="s">
        <v>102</v>
      </c>
      <c r="D35" s="10" t="s">
        <v>103</v>
      </c>
      <c r="E35" s="11" t="n">
        <v>1</v>
      </c>
      <c r="F35" s="12" t="n">
        <v>1</v>
      </c>
      <c r="G35" s="13" t="n">
        <f aca="false">E35*F35</f>
        <v>1</v>
      </c>
      <c r="H35" s="14"/>
      <c r="I35" s="13" t="str">
        <f aca="false">IF(H35="","",H35-G35)</f>
        <v/>
      </c>
      <c r="J35" s="15" t="s">
        <v>104</v>
      </c>
      <c r="K35" s="15" t="s">
        <v>105</v>
      </c>
      <c r="L35" s="16" t="s">
        <v>106</v>
      </c>
      <c r="M35" s="10" t="s">
        <v>107</v>
      </c>
    </row>
    <row r="36" customFormat="false" ht="15.75" hidden="false" customHeight="true" outlineLevel="0" collapsed="false">
      <c r="A36" s="8"/>
      <c r="B36" s="9" t="n">
        <v>25</v>
      </c>
      <c r="C36" s="10" t="s">
        <v>108</v>
      </c>
      <c r="D36" s="10" t="s">
        <v>109</v>
      </c>
      <c r="E36" s="11" t="n">
        <v>1</v>
      </c>
      <c r="F36" s="12" t="n">
        <v>2.5</v>
      </c>
      <c r="G36" s="13" t="n">
        <f aca="false">E36*F36</f>
        <v>2.5</v>
      </c>
      <c r="H36" s="14"/>
      <c r="I36" s="13" t="str">
        <f aca="false">IF(H36="","",H36-G36)</f>
        <v/>
      </c>
      <c r="J36" s="15" t="s">
        <v>110</v>
      </c>
      <c r="K36" s="17"/>
      <c r="L36" s="16" t="s">
        <v>106</v>
      </c>
      <c r="M36" s="10"/>
    </row>
    <row r="38" customFormat="false" ht="30" hidden="false" customHeight="true" outlineLevel="0" collapsed="false">
      <c r="C38" s="18" t="s">
        <v>111</v>
      </c>
      <c r="D38" s="10" t="s">
        <v>112</v>
      </c>
      <c r="G38" s="19" t="n">
        <v>0</v>
      </c>
      <c r="H38" s="20"/>
      <c r="I38" s="21" t="str">
        <f aca="false">IF(H38="","",H38-G38)</f>
        <v/>
      </c>
      <c r="M38" s="10" t="s">
        <v>113</v>
      </c>
    </row>
    <row r="40" customFormat="false" ht="15" hidden="false" customHeight="false" outlineLevel="0" collapsed="false">
      <c r="A40" s="22"/>
      <c r="B40" s="22"/>
      <c r="C40" s="22" t="s">
        <v>114</v>
      </c>
      <c r="D40" s="22"/>
      <c r="E40" s="22"/>
      <c r="F40" s="22"/>
      <c r="G40" s="23" t="n">
        <f aca="false">SUM(G8:G38)</f>
        <v>193</v>
      </c>
      <c r="H40" s="23" t="str">
        <f aca="false">IF(COUNT(H8:H38)=0,"",SUM(H8:H38))</f>
        <v/>
      </c>
      <c r="I40" s="23" t="str">
        <f aca="false">IF(COUNT(H8:H38)=0,"",SUM(I8:I38))</f>
        <v/>
      </c>
      <c r="J40" s="22"/>
      <c r="K40" s="22"/>
      <c r="L40" s="22"/>
      <c r="M40" s="22"/>
    </row>
    <row r="42" customFormat="false" ht="15" hidden="false" customHeight="false" outlineLevel="0" collapsed="false">
      <c r="A42" s="24" t="s">
        <v>115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customFormat="false" ht="28.5" hidden="false" customHeight="true" outlineLevel="0" collapsed="false">
      <c r="C43" s="10" t="s">
        <v>116</v>
      </c>
      <c r="D43" s="17" t="s">
        <v>117</v>
      </c>
      <c r="M43" s="10" t="s">
        <v>118</v>
      </c>
    </row>
    <row r="44" customFormat="false" ht="15.75" hidden="false" customHeight="true" outlineLevel="0" collapsed="false">
      <c r="C44" s="10" t="s">
        <v>119</v>
      </c>
      <c r="D44" s="17" t="s">
        <v>120</v>
      </c>
      <c r="M44" s="10" t="s">
        <v>121</v>
      </c>
    </row>
    <row r="45" customFormat="false" ht="28.5" hidden="false" customHeight="true" outlineLevel="0" collapsed="false">
      <c r="C45" s="10" t="s">
        <v>122</v>
      </c>
      <c r="D45" s="17" t="s">
        <v>123</v>
      </c>
      <c r="M45" s="10" t="s">
        <v>124</v>
      </c>
    </row>
    <row r="46" customFormat="false" ht="15.75" hidden="false" customHeight="true" outlineLevel="0" collapsed="false">
      <c r="C46" s="10" t="s">
        <v>125</v>
      </c>
      <c r="D46" s="17" t="s">
        <v>126</v>
      </c>
      <c r="M46" s="10" t="s">
        <v>127</v>
      </c>
    </row>
    <row r="47" customFormat="false" ht="28.5" hidden="false" customHeight="true" outlineLevel="0" collapsed="false">
      <c r="C47" s="10" t="s">
        <v>128</v>
      </c>
      <c r="D47" s="17" t="s">
        <v>129</v>
      </c>
      <c r="M47" s="10" t="s">
        <v>130</v>
      </c>
    </row>
    <row r="48" customFormat="false" ht="15.75" hidden="false" customHeight="true" outlineLevel="0" collapsed="false">
      <c r="C48" s="10" t="s">
        <v>131</v>
      </c>
      <c r="D48" s="17" t="s">
        <v>132</v>
      </c>
      <c r="M48" s="10" t="s">
        <v>133</v>
      </c>
    </row>
    <row r="50" customFormat="false" ht="15" hidden="false" customHeight="true" outlineLevel="0" collapsed="false">
      <c r="A50" s="25" t="s">
        <v>134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customFormat="false" ht="15" hidden="false" customHeight="true" outlineLevel="0" collapsed="false">
      <c r="A51" s="25" t="s">
        <v>135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customFormat="false" ht="15" hidden="false" customHeight="true" outlineLevel="0" collapsed="false">
      <c r="A52" s="25" t="s">
        <v>136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</row>
  </sheetData>
  <mergeCells count="3">
    <mergeCell ref="A50:M50"/>
    <mergeCell ref="A51:M51"/>
    <mergeCell ref="A52:M52"/>
  </mergeCells>
  <conditionalFormatting sqref="I8:I40">
    <cfRule type="expression" priority="2" aboveAverage="0" equalAverage="0" bottom="0" percent="0" rank="0" text="" dxfId="0">
      <formula>AND(ISNUMBER(I8),I8&gt;2)</formula>
    </cfRule>
    <cfRule type="expression" priority="3" aboveAverage="0" equalAverage="0" bottom="0" percent="0" rank="0" text="" dxfId="1">
      <formula>AND(ISNUMBER(I8),I8&lt;=0)</formula>
    </cfRule>
  </conditionalFormatting>
  <hyperlinks>
    <hyperlink ref="J8" r:id="rId1" display="DAZ's listing"/>
    <hyperlink ref="K8" r:id="rId2" display="Makerbase listing"/>
    <hyperlink ref="J9" r:id="rId3" display="DAZ's listing"/>
    <hyperlink ref="K9" r:id="rId4" display="DAZ's Europe listing (has 1024 P/R)"/>
    <hyperlink ref="J10" r:id="rId5" display="DAZ's listing"/>
    <hyperlink ref="K10" r:id="rId6" display="Search: 13&quot; flat wheel"/>
    <hyperlink ref="J11" r:id="rId7" display="DAZ's listing"/>
    <hyperlink ref="K11" r:id="rId8" display="GKTOOLS listing"/>
    <hyperlink ref="J12" r:id="rId9" display="DAZ's listing"/>
    <hyperlink ref="K12" r:id="rId10" display="Other belt listing"/>
    <hyperlink ref="J13" r:id="rId11" display="DAZ's listing"/>
    <hyperlink ref="K13" r:id="rId12" display="Search: GT2 idler 20T 5 mm"/>
    <hyperlink ref="J14" r:id="rId13" display="24 V adapter listing"/>
    <hyperlink ref="K14" r:id="rId14" display="Search: 24V 10A AU plug"/>
    <hyperlink ref="J15" r:id="rId15" display="XT60H listing"/>
    <hyperlink ref="K15" r:id="rId16" display="Search: XT60 pair"/>
    <hyperlink ref="J16" r:id="rId17" display="DAZ's listing"/>
    <hyperlink ref="K16" r:id="rId18" display="Search: 16 mm cross clamp"/>
    <hyperlink ref="J17" r:id="rId19" display="DAZ's listing"/>
    <hyperlink ref="K17" r:id="rId20" display="Bunnings 16 mm × 1 m (local)"/>
    <hyperlink ref="J18" r:id="rId21" display="Clamp listing"/>
    <hyperlink ref="K18" r:id="rId22" display="DAZ's 'option 2' listing"/>
    <hyperlink ref="J19" r:id="rId23" display="DAZ's listing"/>
    <hyperlink ref="K19" r:id="rId24" display="Plate listing"/>
    <hyperlink ref="J20" r:id="rId25" display="Resistor listing"/>
    <hyperlink ref="K20" r:id="rId26" display="Search: 2.2k resistors"/>
    <hyperlink ref="J23" r:id="rId27" display="DAZ's listing"/>
    <hyperlink ref="K23" r:id="rId28" display="Search: M5x20"/>
    <hyperlink ref="J24" r:id="rId29" display="DAZ's listing"/>
    <hyperlink ref="K24" r:id="rId30" display="Search: M5x25"/>
    <hyperlink ref="J25" r:id="rId31" display="DAZ's listing"/>
    <hyperlink ref="K25" r:id="rId32" display="Search: M5x40"/>
    <hyperlink ref="J26" r:id="rId33" display="DAZ's listing"/>
    <hyperlink ref="K26" r:id="rId34" display="Search: M3x10"/>
    <hyperlink ref="J27" r:id="rId35" display="DAZ's listing"/>
    <hyperlink ref="K27" r:id="rId36" display="Search: M6x30"/>
    <hyperlink ref="J28" r:id="rId37" display="DAZ's listing"/>
    <hyperlink ref="K28" r:id="rId38" display="Search: M6x45"/>
    <hyperlink ref="J29" r:id="rId39" display="DAZ's listing"/>
    <hyperlink ref="K29" r:id="rId40" display="Search: M3x12"/>
    <hyperlink ref="J30" r:id="rId41" display="DAZ's listing"/>
    <hyperlink ref="K30" r:id="rId42" display="Search: M2.5x6"/>
    <hyperlink ref="J31" r:id="rId43" display="DAZ's listing"/>
    <hyperlink ref="K31" r:id="rId44" display="Search: M5 nut"/>
    <hyperlink ref="J32" r:id="rId45" display="DAZ's listing"/>
    <hyperlink ref="K32" r:id="rId46" display="Search: M6 nut"/>
    <hyperlink ref="J35" r:id="rId47" display="Bunnings: M5 washers"/>
    <hyperlink ref="K35" r:id="rId48" display="Washer kit (all three builds)"/>
    <hyperlink ref="J36" r:id="rId49" display="Bunnings: 3 mm nail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2026-10-03T08:10:46Z</dcterms:created>
  <dc:creator>openpyxl</dc:creator>
  <dc:description/>
  <dc:language>en-US</dc:language>
  <cp:lastModifiedBy/>
  <dcterms:modified xsi:type="dcterms:W3CDTF">2026-10-03T08:10:46Z</dcterms:modified>
  <cp:revision>0</cp:revision>
  <dc:subject/>
  <dc:title>DAZ V2 wheel – AliExpress cart list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